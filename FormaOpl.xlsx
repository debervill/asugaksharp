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Почасовая_оплата_ОМО\2024-2025\ГИА\Для кафедр формы документов\Разблокированные формы\"/>
    </mc:Choice>
  </mc:AlternateContent>
  <xr:revisionPtr revIDLastSave="0" documentId="13_ncr:1_{6A3E132D-16FE-436B-B405-1B35384E622A}" xr6:coauthVersionLast="36" xr6:coauthVersionMax="36" xr10:uidLastSave="{00000000-0000-0000-0000-000000000000}"/>
  <bookViews>
    <workbookView xWindow="-105" yWindow="-105" windowWidth="23595" windowHeight="15075" activeTab="1" xr2:uid="{00000000-000D-0000-FFFF-FFFF00000000}"/>
  </bookViews>
  <sheets>
    <sheet name="Исходные данные" sheetId="8" r:id="rId1"/>
    <sheet name="Расчёт стомости" sheetId="3" r:id="rId2"/>
    <sheet name="Заявка на закупку" sheetId="7" r:id="rId3"/>
    <sheet name="Служебная записка" sheetId="9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3" l="1"/>
  <c r="H6" i="3" l="1"/>
  <c r="H7" i="3" s="1"/>
  <c r="AC18" i="7"/>
  <c r="F9" i="3"/>
  <c r="A9" i="3"/>
  <c r="C18" i="7"/>
  <c r="L6" i="3" l="1"/>
  <c r="K6" i="3"/>
  <c r="A9" i="9"/>
  <c r="G27" i="9"/>
  <c r="I129" i="7"/>
  <c r="Z126" i="7"/>
  <c r="H126" i="7"/>
  <c r="Z125" i="7"/>
  <c r="H125" i="7"/>
  <c r="Z123" i="7"/>
  <c r="H123" i="7"/>
  <c r="A7" i="9"/>
  <c r="L120" i="7"/>
  <c r="G14" i="7"/>
  <c r="AC116" i="7"/>
  <c r="Y116" i="7"/>
  <c r="C116" i="7"/>
  <c r="A116" i="7"/>
  <c r="AG115" i="7"/>
  <c r="AC115" i="7"/>
  <c r="Y115" i="7"/>
  <c r="C115" i="7"/>
  <c r="A115" i="7"/>
  <c r="AG114" i="7"/>
  <c r="AC114" i="7"/>
  <c r="Y114" i="7"/>
  <c r="C114" i="7"/>
  <c r="A114" i="7"/>
  <c r="AG113" i="7"/>
  <c r="AC113" i="7"/>
  <c r="Y113" i="7"/>
  <c r="C113" i="7"/>
  <c r="A113" i="7"/>
  <c r="AG112" i="7"/>
  <c r="AC112" i="7"/>
  <c r="Y112" i="7"/>
  <c r="C112" i="7"/>
  <c r="A112" i="7"/>
  <c r="AG111" i="7"/>
  <c r="AC111" i="7"/>
  <c r="Y111" i="7"/>
  <c r="C111" i="7"/>
  <c r="A111" i="7"/>
  <c r="AG110" i="7"/>
  <c r="AC110" i="7"/>
  <c r="Y110" i="7"/>
  <c r="C110" i="7"/>
  <c r="A110" i="7"/>
  <c r="AG109" i="7"/>
  <c r="AC109" i="7"/>
  <c r="Y109" i="7"/>
  <c r="C109" i="7"/>
  <c r="A109" i="7"/>
  <c r="AG108" i="7"/>
  <c r="AC108" i="7"/>
  <c r="Y108" i="7"/>
  <c r="C108" i="7"/>
  <c r="A108" i="7"/>
  <c r="AG107" i="7"/>
  <c r="AC107" i="7"/>
  <c r="Y107" i="7"/>
  <c r="C107" i="7"/>
  <c r="A107" i="7"/>
  <c r="AG106" i="7"/>
  <c r="AC106" i="7"/>
  <c r="Y106" i="7"/>
  <c r="C106" i="7"/>
  <c r="A106" i="7"/>
  <c r="AG105" i="7"/>
  <c r="AC105" i="7"/>
  <c r="Y105" i="7"/>
  <c r="C105" i="7"/>
  <c r="A105" i="7"/>
  <c r="AG104" i="7"/>
  <c r="AC104" i="7"/>
  <c r="Y104" i="7"/>
  <c r="C104" i="7"/>
  <c r="A104" i="7"/>
  <c r="AG103" i="7"/>
  <c r="AC103" i="7"/>
  <c r="Y103" i="7"/>
  <c r="C103" i="7"/>
  <c r="A103" i="7"/>
  <c r="AG102" i="7"/>
  <c r="AC102" i="7"/>
  <c r="Y102" i="7"/>
  <c r="C102" i="7"/>
  <c r="A102" i="7"/>
  <c r="AG101" i="7"/>
  <c r="AC101" i="7"/>
  <c r="Y101" i="7"/>
  <c r="C101" i="7"/>
  <c r="A101" i="7"/>
  <c r="AG100" i="7"/>
  <c r="AC100" i="7"/>
  <c r="Y100" i="7"/>
  <c r="C100" i="7"/>
  <c r="A100" i="7"/>
  <c r="AG99" i="7"/>
  <c r="AC99" i="7"/>
  <c r="Y99" i="7"/>
  <c r="C99" i="7"/>
  <c r="A99" i="7"/>
  <c r="AG98" i="7"/>
  <c r="AC98" i="7"/>
  <c r="Y98" i="7"/>
  <c r="C98" i="7"/>
  <c r="A98" i="7"/>
  <c r="AG97" i="7"/>
  <c r="AC97" i="7"/>
  <c r="Y97" i="7"/>
  <c r="C97" i="7"/>
  <c r="A97" i="7"/>
  <c r="AG96" i="7"/>
  <c r="AC96" i="7"/>
  <c r="Y96" i="7"/>
  <c r="C96" i="7"/>
  <c r="A96" i="7"/>
  <c r="AG95" i="7"/>
  <c r="AC95" i="7"/>
  <c r="Y95" i="7"/>
  <c r="C95" i="7"/>
  <c r="A95" i="7"/>
  <c r="AG94" i="7"/>
  <c r="AC94" i="7"/>
  <c r="Y94" i="7"/>
  <c r="C94" i="7"/>
  <c r="A94" i="7"/>
  <c r="AG93" i="7"/>
  <c r="AC93" i="7"/>
  <c r="Y93" i="7"/>
  <c r="C93" i="7"/>
  <c r="A93" i="7"/>
  <c r="AG92" i="7"/>
  <c r="AC92" i="7"/>
  <c r="Y92" i="7"/>
  <c r="C92" i="7"/>
  <c r="A92" i="7"/>
  <c r="AG91" i="7"/>
  <c r="AC91" i="7"/>
  <c r="Y91" i="7"/>
  <c r="C91" i="7"/>
  <c r="A91" i="7"/>
  <c r="AG90" i="7"/>
  <c r="AC90" i="7"/>
  <c r="Y90" i="7"/>
  <c r="C90" i="7"/>
  <c r="A90" i="7"/>
  <c r="AG89" i="7"/>
  <c r="AC89" i="7"/>
  <c r="Y89" i="7"/>
  <c r="C89" i="7"/>
  <c r="A89" i="7"/>
  <c r="AG88" i="7"/>
  <c r="AC88" i="7"/>
  <c r="Y88" i="7"/>
  <c r="C88" i="7"/>
  <c r="A88" i="7"/>
  <c r="AG87" i="7"/>
  <c r="AC87" i="7"/>
  <c r="Y87" i="7"/>
  <c r="C87" i="7"/>
  <c r="A87" i="7"/>
  <c r="AG86" i="7"/>
  <c r="AC86" i="7"/>
  <c r="Y86" i="7"/>
  <c r="C86" i="7"/>
  <c r="A86" i="7"/>
  <c r="AG85" i="7"/>
  <c r="AC85" i="7"/>
  <c r="Y85" i="7"/>
  <c r="C85" i="7"/>
  <c r="A85" i="7"/>
  <c r="AG84" i="7"/>
  <c r="AC84" i="7"/>
  <c r="Y84" i="7"/>
  <c r="C84" i="7"/>
  <c r="A84" i="7"/>
  <c r="AG83" i="7"/>
  <c r="AC83" i="7"/>
  <c r="Y83" i="7"/>
  <c r="C83" i="7"/>
  <c r="A83" i="7"/>
  <c r="AG82" i="7"/>
  <c r="AC82" i="7"/>
  <c r="Y82" i="7"/>
  <c r="C82" i="7"/>
  <c r="A82" i="7"/>
  <c r="AG81" i="7"/>
  <c r="AC81" i="7"/>
  <c r="Y81" i="7"/>
  <c r="C81" i="7"/>
  <c r="A81" i="7"/>
  <c r="AG80" i="7"/>
  <c r="AC80" i="7"/>
  <c r="Y80" i="7"/>
  <c r="C80" i="7"/>
  <c r="A80" i="7"/>
  <c r="AG79" i="7"/>
  <c r="AC79" i="7"/>
  <c r="Y79" i="7"/>
  <c r="C79" i="7"/>
  <c r="A79" i="7"/>
  <c r="AG78" i="7"/>
  <c r="AC78" i="7"/>
  <c r="Y78" i="7"/>
  <c r="C78" i="7"/>
  <c r="A78" i="7"/>
  <c r="AG77" i="7"/>
  <c r="AC77" i="7"/>
  <c r="Y77" i="7"/>
  <c r="C77" i="7"/>
  <c r="A77" i="7"/>
  <c r="AG76" i="7"/>
  <c r="AC76" i="7"/>
  <c r="Y76" i="7"/>
  <c r="C76" i="7"/>
  <c r="A76" i="7"/>
  <c r="AG75" i="7"/>
  <c r="AC75" i="7"/>
  <c r="Y75" i="7"/>
  <c r="C75" i="7"/>
  <c r="A75" i="7"/>
  <c r="AG74" i="7"/>
  <c r="AC74" i="7"/>
  <c r="Y74" i="7"/>
  <c r="C74" i="7"/>
  <c r="A74" i="7"/>
  <c r="AG73" i="7"/>
  <c r="AC73" i="7"/>
  <c r="Y73" i="7"/>
  <c r="C73" i="7"/>
  <c r="A73" i="7"/>
  <c r="AG72" i="7"/>
  <c r="AC72" i="7"/>
  <c r="Y72" i="7"/>
  <c r="C72" i="7"/>
  <c r="A72" i="7"/>
  <c r="AG71" i="7"/>
  <c r="AC71" i="7"/>
  <c r="Y71" i="7"/>
  <c r="C71" i="7"/>
  <c r="A71" i="7"/>
  <c r="AG70" i="7"/>
  <c r="AC70" i="7"/>
  <c r="Y70" i="7"/>
  <c r="C70" i="7"/>
  <c r="A70" i="7"/>
  <c r="AG69" i="7"/>
  <c r="AC69" i="7"/>
  <c r="Y69" i="7"/>
  <c r="C69" i="7"/>
  <c r="A69" i="7"/>
  <c r="AG68" i="7"/>
  <c r="AC68" i="7"/>
  <c r="Y68" i="7"/>
  <c r="C68" i="7"/>
  <c r="A68" i="7"/>
  <c r="AG67" i="7"/>
  <c r="AC67" i="7"/>
  <c r="Y67" i="7"/>
  <c r="C67" i="7"/>
  <c r="A67" i="7"/>
  <c r="AG66" i="7"/>
  <c r="AC66" i="7"/>
  <c r="Y66" i="7"/>
  <c r="C66" i="7"/>
  <c r="A66" i="7"/>
  <c r="AG65" i="7"/>
  <c r="AC65" i="7"/>
  <c r="Y65" i="7"/>
  <c r="C65" i="7"/>
  <c r="A65" i="7"/>
  <c r="AG64" i="7"/>
  <c r="AC64" i="7"/>
  <c r="Y64" i="7"/>
  <c r="C64" i="7"/>
  <c r="A64" i="7"/>
  <c r="AG63" i="7"/>
  <c r="AC63" i="7"/>
  <c r="Y63" i="7"/>
  <c r="C63" i="7"/>
  <c r="A63" i="7"/>
  <c r="AG62" i="7"/>
  <c r="AC62" i="7"/>
  <c r="Y62" i="7"/>
  <c r="C62" i="7"/>
  <c r="A62" i="7"/>
  <c r="AG61" i="7"/>
  <c r="AC61" i="7"/>
  <c r="Y61" i="7"/>
  <c r="C61" i="7"/>
  <c r="A61" i="7"/>
  <c r="AG60" i="7"/>
  <c r="AC60" i="7"/>
  <c r="Y60" i="7"/>
  <c r="C60" i="7"/>
  <c r="A60" i="7"/>
  <c r="AG59" i="7"/>
  <c r="AC59" i="7"/>
  <c r="Y59" i="7"/>
  <c r="C59" i="7"/>
  <c r="A59" i="7"/>
  <c r="AG58" i="7"/>
  <c r="AC58" i="7"/>
  <c r="Y58" i="7"/>
  <c r="C58" i="7"/>
  <c r="A58" i="7"/>
  <c r="AG57" i="7"/>
  <c r="AC57" i="7"/>
  <c r="Y57" i="7"/>
  <c r="C57" i="7"/>
  <c r="A57" i="7"/>
  <c r="AG56" i="7"/>
  <c r="AC56" i="7"/>
  <c r="Y56" i="7"/>
  <c r="C56" i="7"/>
  <c r="A56" i="7"/>
  <c r="AG55" i="7"/>
  <c r="AC55" i="7"/>
  <c r="Y55" i="7"/>
  <c r="C55" i="7"/>
  <c r="A55" i="7"/>
  <c r="AG54" i="7"/>
  <c r="AC54" i="7"/>
  <c r="Y54" i="7"/>
  <c r="C54" i="7"/>
  <c r="A54" i="7"/>
  <c r="AG53" i="7"/>
  <c r="AC53" i="7"/>
  <c r="Y53" i="7"/>
  <c r="C53" i="7"/>
  <c r="A53" i="7"/>
  <c r="AG52" i="7"/>
  <c r="AC52" i="7"/>
  <c r="Y52" i="7"/>
  <c r="C52" i="7"/>
  <c r="A52" i="7"/>
  <c r="AG51" i="7"/>
  <c r="AC51" i="7"/>
  <c r="Y51" i="7"/>
  <c r="C51" i="7"/>
  <c r="A51" i="7"/>
  <c r="AG50" i="7"/>
  <c r="AC50" i="7"/>
  <c r="Y50" i="7"/>
  <c r="C50" i="7"/>
  <c r="A50" i="7"/>
  <c r="AG49" i="7"/>
  <c r="AC49" i="7"/>
  <c r="Y49" i="7"/>
  <c r="C49" i="7"/>
  <c r="A49" i="7"/>
  <c r="AG48" i="7"/>
  <c r="AC48" i="7"/>
  <c r="Y48" i="7"/>
  <c r="C48" i="7"/>
  <c r="A48" i="7"/>
  <c r="AG47" i="7"/>
  <c r="AC47" i="7"/>
  <c r="Y47" i="7"/>
  <c r="C47" i="7"/>
  <c r="A47" i="7"/>
  <c r="AG46" i="7"/>
  <c r="AC46" i="7"/>
  <c r="Y46" i="7"/>
  <c r="C46" i="7"/>
  <c r="A46" i="7"/>
  <c r="AG45" i="7"/>
  <c r="AC45" i="7"/>
  <c r="Y45" i="7"/>
  <c r="C45" i="7"/>
  <c r="A45" i="7"/>
  <c r="AG44" i="7"/>
  <c r="AC44" i="7"/>
  <c r="Y44" i="7"/>
  <c r="C44" i="7"/>
  <c r="A44" i="7"/>
  <c r="AG43" i="7"/>
  <c r="AC43" i="7"/>
  <c r="Y43" i="7"/>
  <c r="C43" i="7"/>
  <c r="A43" i="7"/>
  <c r="AG42" i="7"/>
  <c r="AC42" i="7"/>
  <c r="Y42" i="7"/>
  <c r="C42" i="7"/>
  <c r="A42" i="7"/>
  <c r="AG41" i="7"/>
  <c r="AC41" i="7"/>
  <c r="Y41" i="7"/>
  <c r="C41" i="7"/>
  <c r="A41" i="7"/>
  <c r="AG40" i="7"/>
  <c r="AC40" i="7"/>
  <c r="Y40" i="7"/>
  <c r="C40" i="7"/>
  <c r="A40" i="7"/>
  <c r="AG39" i="7"/>
  <c r="AC39" i="7"/>
  <c r="Y39" i="7"/>
  <c r="C39" i="7"/>
  <c r="A39" i="7"/>
  <c r="AG38" i="7"/>
  <c r="AC38" i="7"/>
  <c r="Y38" i="7"/>
  <c r="C38" i="7"/>
  <c r="A38" i="7"/>
  <c r="AG37" i="7"/>
  <c r="AC37" i="7"/>
  <c r="Y37" i="7"/>
  <c r="C37" i="7"/>
  <c r="A37" i="7"/>
  <c r="AG36" i="7"/>
  <c r="AC36" i="7"/>
  <c r="Y36" i="7"/>
  <c r="C36" i="7"/>
  <c r="A36" i="7"/>
  <c r="AG35" i="7"/>
  <c r="AC35" i="7"/>
  <c r="Y35" i="7"/>
  <c r="C35" i="7"/>
  <c r="A35" i="7"/>
  <c r="AG34" i="7"/>
  <c r="AC34" i="7"/>
  <c r="Y34" i="7"/>
  <c r="C34" i="7"/>
  <c r="A34" i="7"/>
  <c r="AG33" i="7"/>
  <c r="AC33" i="7"/>
  <c r="Y33" i="7"/>
  <c r="C33" i="7"/>
  <c r="A33" i="7"/>
  <c r="AG32" i="7"/>
  <c r="AC32" i="7"/>
  <c r="Y32" i="7"/>
  <c r="C32" i="7"/>
  <c r="A32" i="7"/>
  <c r="AG31" i="7"/>
  <c r="AC31" i="7"/>
  <c r="Y31" i="7"/>
  <c r="C31" i="7"/>
  <c r="A31" i="7"/>
  <c r="AG30" i="7"/>
  <c r="AC30" i="7"/>
  <c r="Y30" i="7"/>
  <c r="C30" i="7"/>
  <c r="A30" i="7"/>
  <c r="AG29" i="7"/>
  <c r="AC29" i="7"/>
  <c r="Y29" i="7"/>
  <c r="C29" i="7"/>
  <c r="A29" i="7"/>
  <c r="AG28" i="7"/>
  <c r="AC28" i="7"/>
  <c r="Y28" i="7"/>
  <c r="C28" i="7"/>
  <c r="A28" i="7"/>
  <c r="AG27" i="7"/>
  <c r="AC27" i="7"/>
  <c r="Y27" i="7"/>
  <c r="C27" i="7"/>
  <c r="A27" i="7"/>
  <c r="AG26" i="7"/>
  <c r="AC26" i="7"/>
  <c r="Y26" i="7"/>
  <c r="C26" i="7"/>
  <c r="A26" i="7"/>
  <c r="AG25" i="7"/>
  <c r="AC25" i="7"/>
  <c r="Y25" i="7"/>
  <c r="C25" i="7"/>
  <c r="A25" i="7"/>
  <c r="AG24" i="7"/>
  <c r="AC24" i="7"/>
  <c r="Y24" i="7"/>
  <c r="C24" i="7"/>
  <c r="A24" i="7"/>
  <c r="AG23" i="7"/>
  <c r="AC23" i="7"/>
  <c r="Y23" i="7"/>
  <c r="C23" i="7"/>
  <c r="A23" i="7"/>
  <c r="AG22" i="7"/>
  <c r="AC22" i="7"/>
  <c r="Y22" i="7"/>
  <c r="C22" i="7"/>
  <c r="A22" i="7"/>
  <c r="AG21" i="7"/>
  <c r="AC21" i="7"/>
  <c r="Y21" i="7"/>
  <c r="C21" i="7"/>
  <c r="A21" i="7"/>
  <c r="AG20" i="7"/>
  <c r="AC20" i="7"/>
  <c r="Y20" i="7"/>
  <c r="C20" i="7"/>
  <c r="A20" i="7"/>
  <c r="AG19" i="7"/>
  <c r="AC19" i="7"/>
  <c r="Y19" i="7"/>
  <c r="C19" i="7"/>
  <c r="A19" i="7"/>
  <c r="A17" i="7"/>
  <c r="N6" i="3" l="1"/>
  <c r="N7" i="3" s="1"/>
  <c r="K7" i="3"/>
  <c r="O6" i="3"/>
  <c r="O7" i="3" s="1"/>
  <c r="L7" i="3"/>
  <c r="I6" i="3"/>
  <c r="I7" i="3" s="1"/>
  <c r="M6" i="3" l="1"/>
  <c r="M7" i="3" s="1"/>
  <c r="A24" i="9" s="1"/>
  <c r="B18" i="9"/>
  <c r="J6" i="3"/>
  <c r="J7" i="3" s="1"/>
  <c r="AG18" i="7" l="1"/>
  <c r="AG117" i="7" s="1"/>
</calcChain>
</file>

<file path=xl/sharedStrings.xml><?xml version="1.0" encoding="utf-8"?>
<sst xmlns="http://schemas.openxmlformats.org/spreadsheetml/2006/main" count="144" uniqueCount="123">
  <si>
    <t xml:space="preserve">ФИО </t>
  </si>
  <si>
    <t>Должность в ГЭК</t>
  </si>
  <si>
    <t>Всего часов</t>
  </si>
  <si>
    <t>бюджет</t>
  </si>
  <si>
    <t>платное</t>
  </si>
  <si>
    <t>Амосов Алексей Германович</t>
  </si>
  <si>
    <t>Итого</t>
  </si>
  <si>
    <t>Всего к оплате, в руб.</t>
  </si>
  <si>
    <t>Итого с учетом ЕНП, в руб.</t>
  </si>
  <si>
    <t>Всего студентов, чел.</t>
  </si>
  <si>
    <t>Норма времени на 1 студента, час.</t>
  </si>
  <si>
    <t>Стоимость часа, руб.</t>
  </si>
  <si>
    <t>СОГЛАСОВАНО:</t>
  </si>
  <si>
    <t>Первый проректор - проректор по образовательной деятельности</t>
  </si>
  <si>
    <t>Артемьев И.А.</t>
  </si>
  <si>
    <t>в том числе НДФЛ, 13%</t>
  </si>
  <si>
    <t>Приложение № 1</t>
  </si>
  <si>
    <t>к приказу от «12» января 2018 г. № 9 о.д.</t>
  </si>
  <si>
    <t>УТВЕРЖДАЮ</t>
  </si>
  <si>
    <t>Справочно:</t>
  </si>
  <si>
    <t>Передано в КС МАДИ</t>
  </si>
  <si>
    <t>должность</t>
  </si>
  <si>
    <t>Включено в план закупок</t>
  </si>
  <si>
    <t>Включено в план-график</t>
  </si>
  <si>
    <t>подпись                                      И.О.Фамилия</t>
  </si>
  <si>
    <t>Опубликовано извещение</t>
  </si>
  <si>
    <t>«____»_____________ 20__ г.</t>
  </si>
  <si>
    <t xml:space="preserve"> </t>
  </si>
  <si>
    <t>З  А  Я  В  К  А     Н  А     З  А  К  У  П  К  У</t>
  </si>
  <si>
    <t>№_______ от «_____»____________ 20___ г.</t>
  </si>
  <si>
    <r>
      <t>1) Прошу Вас</t>
    </r>
    <r>
      <rPr>
        <sz val="12"/>
        <color theme="1"/>
        <rFont val="Times New Roman"/>
        <family val="1"/>
        <charset val="204"/>
      </rPr>
      <t xml:space="preserve"> для нужд</t>
    </r>
  </si>
  <si>
    <t>наименование структурного подразделения</t>
  </si>
  <si>
    <t>провести закупку следующих товаров (работ, услуг):</t>
  </si>
  <si>
    <t>Наименование товара (работ, услуг)</t>
  </si>
  <si>
    <t>Кол-во товара (работ, услуг)</t>
  </si>
  <si>
    <t>Цена за единицу товара (работ, услуг)</t>
  </si>
  <si>
    <t>Стоимость,    руб.</t>
  </si>
  <si>
    <t>Итого на сумму:</t>
  </si>
  <si>
    <t>Техническое задание и обоснование цены на</t>
  </si>
  <si>
    <t xml:space="preserve">   листах прилагаются.</t>
  </si>
  <si>
    <t xml:space="preserve">Ответственное структурное подразделение: </t>
  </si>
  <si>
    <t>и лицо от подразделения:</t>
  </si>
  <si>
    <t>при проведении закупки, в том числе и в комиссии</t>
  </si>
  <si>
    <t>при приёмке и оплате товара (работ, услуг)</t>
  </si>
  <si>
    <t>Фамилия, Имя, Отчество</t>
  </si>
  <si>
    <t>Должность</t>
  </si>
  <si>
    <t>Телефон</t>
  </si>
  <si>
    <t>E-mail</t>
  </si>
  <si>
    <t>Подпись ответственного лица</t>
  </si>
  <si>
    <t>Руководитель подразделения:</t>
  </si>
  <si>
    <t>«_____» ___________20____ г.</t>
  </si>
  <si>
    <t xml:space="preserve">                                                                                                                       </t>
  </si>
  <si>
    <t>ФИО</t>
  </si>
  <si>
    <t>подпись</t>
  </si>
  <si>
    <t xml:space="preserve">Курирующий проректор </t>
  </si>
  <si>
    <r>
      <t>2) Согласовано</t>
    </r>
    <r>
      <rPr>
        <sz val="12"/>
        <color theme="1"/>
        <rFont val="Times New Roman"/>
        <family val="1"/>
        <charset val="204"/>
      </rPr>
      <t xml:space="preserve"> наличие финансирования в Финансово-экономическом отделе МАДИ:</t>
    </r>
  </si>
  <si>
    <t>Субсидия / Внебюджет</t>
  </si>
  <si>
    <t>Целевые</t>
  </si>
  <si>
    <t>КОСГУ</t>
  </si>
  <si>
    <t>КВР</t>
  </si>
  <si>
    <t>КФО</t>
  </si>
  <si>
    <t>указать № гранта, протокола, заключенного договора или иной документ</t>
  </si>
  <si>
    <r>
      <t>Лицевой счет (</t>
    </r>
    <r>
      <rPr>
        <i/>
        <sz val="12"/>
        <color theme="1"/>
        <rFont val="Times New Roman"/>
        <family val="1"/>
        <charset val="204"/>
      </rPr>
      <t>выбрать нужный</t>
    </r>
    <r>
      <rPr>
        <sz val="12"/>
        <color theme="1"/>
        <rFont val="Times New Roman"/>
        <family val="1"/>
        <charset val="204"/>
      </rPr>
      <t>):</t>
    </r>
  </si>
  <si>
    <t>20736X72540</t>
  </si>
  <si>
    <t>21736X72540</t>
  </si>
  <si>
    <t>Сотрудник ФЭО:</t>
  </si>
  <si>
    <r>
      <t>3) Согласована</t>
    </r>
    <r>
      <rPr>
        <sz val="12"/>
        <color theme="1"/>
        <rFont val="Times New Roman"/>
        <family val="1"/>
        <charset val="204"/>
      </rPr>
      <t xml:space="preserve"> форма проведения закупки в Контрактной службе МАДИ:</t>
    </r>
  </si>
  <si>
    <t>Применяемый Федеральный закон (выбрать)</t>
  </si>
  <si>
    <t>Способ определения поставщика</t>
  </si>
  <si>
    <t>Необходимо (выбрать):</t>
  </si>
  <si>
    <t>44-ФЗ</t>
  </si>
  <si>
    <t>223-ФЗ</t>
  </si>
  <si>
    <t>Электронный аукцион</t>
  </si>
  <si>
    <t>Внести в план закупок</t>
  </si>
  <si>
    <t>Открытый конкурс</t>
  </si>
  <si>
    <t>Внести в план – график</t>
  </si>
  <si>
    <t>Запрос котировок</t>
  </si>
  <si>
    <t>Разместить извещение</t>
  </si>
  <si>
    <t>Запрос предложений</t>
  </si>
  <si>
    <t>Обеспечение заявки</t>
  </si>
  <si>
    <t>Запрос цен</t>
  </si>
  <si>
    <t>Обеспечение контракта</t>
  </si>
  <si>
    <t>Единственный поставщик</t>
  </si>
  <si>
    <t>Закупка для СМП</t>
  </si>
  <si>
    <t>Иное:</t>
  </si>
  <si>
    <t>Иной способ:</t>
  </si>
  <si>
    <t>ИКЗ (идентификационный код закупки)</t>
  </si>
  <si>
    <t>год</t>
  </si>
  <si>
    <t>идентификационный код заказчика</t>
  </si>
  <si>
    <t>№ ПЗ</t>
  </si>
  <si>
    <t>№ ПГ</t>
  </si>
  <si>
    <t>ОКПД 2</t>
  </si>
  <si>
    <t>Руководитель Контрактной службы МАДИ:</t>
  </si>
  <si>
    <t>Наименование кафедры (полностью)</t>
  </si>
  <si>
    <t>Количество студентов обучающихся на платной основе допущенных к ГЭК</t>
  </si>
  <si>
    <t>Количество студентов обучающихся на бюджетной основе допущенных к ГЭК</t>
  </si>
  <si>
    <t>Общая инфорамция</t>
  </si>
  <si>
    <t>№ Приказа об утверждении ГЭК</t>
  </si>
  <si>
    <t>Московский автомобильно-дорожный</t>
  </si>
  <si>
    <t>государственный технический</t>
  </si>
  <si>
    <t>университет (МАДИ)</t>
  </si>
  <si>
    <t>Служебная записка</t>
  </si>
  <si>
    <t>Ф.И.О заведующего кафедров</t>
  </si>
  <si>
    <t>Верещагин С.Б.</t>
  </si>
  <si>
    <t>заведующий кафедрой</t>
  </si>
  <si>
    <t>Контактный номер телефона заведующего кафедрой</t>
  </si>
  <si>
    <t>Контактный адрес электронной почты заведующего кафедрой</t>
  </si>
  <si>
    <t>8(499)155-08-20</t>
  </si>
  <si>
    <t>Заведующий кафедрой</t>
  </si>
  <si>
    <t>1.</t>
  </si>
  <si>
    <t>из них</t>
  </si>
  <si>
    <t>5 (6+7)</t>
  </si>
  <si>
    <t>tws@madi.ru</t>
  </si>
  <si>
    <t>Первому проректору - проректору 
по образовательной деятельности 
Артемьеву И.А.</t>
  </si>
  <si>
    <t>1156 о.д. от 15.12.2023</t>
  </si>
  <si>
    <t>Рецензент ВКР</t>
  </si>
  <si>
    <t>Расчет стоимости оказания образовательных услуг сторонних лиц, не являющихся работниками МАДИ</t>
  </si>
  <si>
    <t>Панченко Александр Сергеевич</t>
  </si>
  <si>
    <t>Факультет "Дорожные и технологические машины"</t>
  </si>
  <si>
    <t>Ф.И.О (полностью)  Рецензента</t>
  </si>
  <si>
    <t>Информация о рецензенте</t>
  </si>
  <si>
    <t>Кафедра "Наименование кафедры"</t>
  </si>
  <si>
    <t>В целях проведения государственной итоговой аттестации прошу Вас согласовать заявку на приобретение следующих услуг: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</si>
</sst>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15" x14ac:knownFonts="1">
    <font>
      <sz val="11"/>
      <color theme="1"/>
      <name val="Calibri"/>
      <family val="2"/>
      <charset val="204"/>
      <scheme val="minor"/>
    </font>
    <font>
      <sz val="13.5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2" fontId="3" fillId="0" borderId="2" xfId="0" applyNumberFormat="1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2" fontId="3" fillId="0" borderId="5" xfId="0" applyNumberFormat="1" applyFont="1" applyBorder="1" applyAlignment="1">
      <alignment wrapText="1"/>
    </xf>
    <xf numFmtId="2" fontId="4" fillId="0" borderId="5" xfId="0" applyNumberFormat="1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9" fillId="0" borderId="0" xfId="0" applyFont="1"/>
    <xf numFmtId="0" fontId="9" fillId="0" borderId="2" xfId="0" applyFont="1" applyBorder="1" applyAlignment="1">
      <alignment horizontal="left" vertical="top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7" xfId="0" applyFont="1" applyBorder="1"/>
    <xf numFmtId="0" fontId="9" fillId="0" borderId="7" xfId="0" applyFont="1" applyBorder="1"/>
    <xf numFmtId="0" fontId="9" fillId="0" borderId="0" xfId="0" applyFont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top"/>
    </xf>
    <xf numFmtId="0" fontId="11" fillId="0" borderId="0" xfId="0" applyFont="1"/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14" fontId="12" fillId="0" borderId="0" xfId="0" applyNumberFormat="1" applyFont="1"/>
    <xf numFmtId="0" fontId="12" fillId="0" borderId="0" xfId="0" applyFont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/>
    <xf numFmtId="0" fontId="12" fillId="2" borderId="2" xfId="0" applyFont="1" applyFill="1" applyBorder="1" applyProtection="1">
      <protection locked="0"/>
    </xf>
    <xf numFmtId="0" fontId="8" fillId="2" borderId="2" xfId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/>
    <xf numFmtId="0" fontId="12" fillId="0" borderId="0" xfId="0" applyFont="1" applyAlignment="1">
      <alignment horizontal="distributed" vertical="center" wrapText="1" justifyLastLine="1"/>
    </xf>
    <xf numFmtId="0" fontId="12" fillId="0" borderId="0" xfId="0" applyFont="1" applyAlignment="1">
      <alignment horizontal="left"/>
    </xf>
    <xf numFmtId="2" fontId="3" fillId="0" borderId="0" xfId="0" applyNumberFormat="1" applyFont="1" applyAlignment="1">
      <alignment wrapText="1"/>
    </xf>
    <xf numFmtId="0" fontId="5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2" fontId="3" fillId="4" borderId="2" xfId="0" applyNumberFormat="1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top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43" fontId="9" fillId="0" borderId="2" xfId="2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top"/>
    </xf>
    <xf numFmtId="43" fontId="9" fillId="0" borderId="2" xfId="2" applyFont="1" applyBorder="1" applyAlignment="1">
      <alignment horizontal="right" vertical="top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top" wrapText="1"/>
    </xf>
    <xf numFmtId="0" fontId="9" fillId="0" borderId="2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5" xfId="0" applyFont="1" applyBorder="1" applyAlignment="1">
      <alignment horizontal="left" vertical="top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1" fillId="0" borderId="2" xfId="0" applyFont="1" applyBorder="1" applyAlignment="1">
      <alignment horizontal="right" vertical="top"/>
    </xf>
    <xf numFmtId="43" fontId="11" fillId="0" borderId="2" xfId="2" applyFont="1" applyBorder="1" applyAlignment="1">
      <alignment horizontal="right" vertical="top"/>
    </xf>
    <xf numFmtId="0" fontId="7" fillId="3" borderId="2" xfId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9" fillId="0" borderId="17" xfId="0" applyFont="1" applyBorder="1" applyAlignment="1">
      <alignment horizontal="left" vertical="top"/>
    </xf>
    <xf numFmtId="0" fontId="9" fillId="0" borderId="18" xfId="0" applyFont="1" applyBorder="1" applyAlignment="1">
      <alignment horizontal="left" vertical="top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top"/>
    </xf>
    <xf numFmtId="0" fontId="7" fillId="3" borderId="0" xfId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11" xfId="0" applyFont="1" applyBorder="1" applyAlignment="1">
      <alignment horizontal="center" vertical="top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34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35" xfId="0" applyFont="1" applyBorder="1" applyAlignment="1">
      <alignment horizontal="left" vertical="top"/>
    </xf>
    <xf numFmtId="0" fontId="9" fillId="0" borderId="16" xfId="0" applyFont="1" applyBorder="1" applyAlignment="1">
      <alignment horizontal="center"/>
    </xf>
    <xf numFmtId="0" fontId="9" fillId="0" borderId="36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22" xfId="0" applyFont="1" applyBorder="1" applyAlignment="1">
      <alignment horizontal="center"/>
    </xf>
    <xf numFmtId="0" fontId="11" fillId="0" borderId="7" xfId="0" applyFont="1" applyBorder="1" applyAlignment="1">
      <alignment horizontal="center" vertical="top"/>
    </xf>
    <xf numFmtId="0" fontId="9" fillId="0" borderId="5" xfId="0" applyFont="1" applyBorder="1" applyAlignment="1">
      <alignment horizontal="center"/>
    </xf>
    <xf numFmtId="0" fontId="12" fillId="0" borderId="0" xfId="0" applyFont="1" applyAlignment="1">
      <alignment horizontal="left" vertical="center" wrapText="1" justifyLastLine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</cellXfs>
  <cellStyles count="3">
    <cellStyle name="Гиперссылка" xfId="1" builtinId="8"/>
    <cellStyle name="Обычный" xfId="0" builtinId="0"/>
    <cellStyle name="Финансовый 2" xfId="2" xr:uid="{4876A69E-7B03-405B-AD35-39D2964EC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226181b1d7bd7b2/&#1044;&#1086;&#1082;&#1091;&#1084;&#1077;&#1085;&#1090;&#1099;/&#1052;&#1040;&#1044;&#1048;/&#1047;&#1072;&#1082;&#1091;&#1087;&#1082;&#1080;/&#1055;&#1050;.%20&#1060;&#1048;&#1057;%20&#1043;&#1048;&#1040;/&#1047;&#1072;&#1103;&#1074;&#1082;&#1072;%20&#1085;&#1072;%20&#1079;&#1072;&#1082;&#1091;&#1087;&#1082;&#1091;.%20&#1060;&#1048;&#1057;%20&#1043;&#104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вод данных"/>
      <sheetName val="Расчет 44-ФЗ"/>
      <sheetName val="Заявка на закупку"/>
    </sheetNames>
    <sheetDataSet>
      <sheetData sheetId="0">
        <row r="2">
          <cell r="A2" t="str">
            <v>№ п/п</v>
          </cell>
        </row>
        <row r="6">
          <cell r="A6"/>
          <cell r="B6"/>
          <cell r="F6"/>
          <cell r="G6"/>
          <cell r="I6">
            <v>0</v>
          </cell>
          <cell r="J6">
            <v>0</v>
          </cell>
        </row>
        <row r="7">
          <cell r="A7"/>
          <cell r="B7"/>
          <cell r="F7"/>
          <cell r="G7"/>
          <cell r="I7">
            <v>0</v>
          </cell>
          <cell r="J7">
            <v>0</v>
          </cell>
        </row>
        <row r="8">
          <cell r="A8"/>
          <cell r="B8"/>
          <cell r="F8"/>
          <cell r="G8"/>
          <cell r="I8">
            <v>0</v>
          </cell>
          <cell r="J8">
            <v>0</v>
          </cell>
        </row>
        <row r="9">
          <cell r="A9"/>
          <cell r="B9"/>
          <cell r="F9"/>
          <cell r="G9"/>
          <cell r="I9">
            <v>0</v>
          </cell>
          <cell r="J9">
            <v>0</v>
          </cell>
        </row>
        <row r="10">
          <cell r="A10"/>
          <cell r="B10"/>
          <cell r="F10"/>
          <cell r="G10"/>
          <cell r="I10">
            <v>0</v>
          </cell>
          <cell r="J10">
            <v>0</v>
          </cell>
        </row>
        <row r="11">
          <cell r="A11"/>
          <cell r="B11"/>
          <cell r="F11"/>
          <cell r="G11"/>
          <cell r="I11">
            <v>0</v>
          </cell>
          <cell r="J11">
            <v>0</v>
          </cell>
        </row>
        <row r="12">
          <cell r="A12"/>
          <cell r="B12"/>
          <cell r="F12"/>
          <cell r="G12"/>
          <cell r="I12">
            <v>0</v>
          </cell>
          <cell r="J12">
            <v>0</v>
          </cell>
        </row>
        <row r="13">
          <cell r="A13"/>
          <cell r="B13"/>
          <cell r="F13"/>
          <cell r="G13"/>
          <cell r="I13">
            <v>0</v>
          </cell>
          <cell r="J13">
            <v>0</v>
          </cell>
        </row>
        <row r="14">
          <cell r="A14"/>
          <cell r="B14"/>
          <cell r="F14"/>
          <cell r="G14"/>
          <cell r="I14">
            <v>0</v>
          </cell>
          <cell r="J14">
            <v>0</v>
          </cell>
        </row>
        <row r="15">
          <cell r="A15"/>
          <cell r="B15"/>
          <cell r="F15"/>
          <cell r="G15"/>
          <cell r="I15">
            <v>0</v>
          </cell>
          <cell r="J15">
            <v>0</v>
          </cell>
        </row>
        <row r="16">
          <cell r="A16"/>
          <cell r="B16"/>
          <cell r="F16"/>
          <cell r="G16"/>
          <cell r="I16">
            <v>0</v>
          </cell>
          <cell r="J16">
            <v>0</v>
          </cell>
        </row>
        <row r="17">
          <cell r="A17">
            <v>0</v>
          </cell>
          <cell r="B17"/>
          <cell r="F17"/>
          <cell r="G17"/>
          <cell r="I17">
            <v>0</v>
          </cell>
          <cell r="J17">
            <v>0</v>
          </cell>
        </row>
        <row r="18">
          <cell r="A18">
            <v>0</v>
          </cell>
          <cell r="B18"/>
          <cell r="F18"/>
          <cell r="G18"/>
          <cell r="I18">
            <v>0</v>
          </cell>
          <cell r="J18">
            <v>0</v>
          </cell>
        </row>
        <row r="19">
          <cell r="A19">
            <v>0</v>
          </cell>
          <cell r="B19"/>
          <cell r="F19"/>
          <cell r="G19"/>
          <cell r="I19">
            <v>0</v>
          </cell>
          <cell r="J19">
            <v>0</v>
          </cell>
        </row>
        <row r="20">
          <cell r="A20">
            <v>0</v>
          </cell>
          <cell r="B20"/>
          <cell r="F20"/>
          <cell r="G20"/>
          <cell r="I20">
            <v>0</v>
          </cell>
          <cell r="J20">
            <v>0</v>
          </cell>
        </row>
        <row r="21">
          <cell r="A21">
            <v>0</v>
          </cell>
          <cell r="B21"/>
          <cell r="F21"/>
          <cell r="G21"/>
          <cell r="I21">
            <v>0</v>
          </cell>
          <cell r="J21">
            <v>0</v>
          </cell>
        </row>
        <row r="22">
          <cell r="A22">
            <v>0</v>
          </cell>
          <cell r="B22"/>
          <cell r="F22"/>
          <cell r="G22"/>
          <cell r="I22">
            <v>0</v>
          </cell>
          <cell r="J22">
            <v>0</v>
          </cell>
        </row>
        <row r="23">
          <cell r="A23">
            <v>0</v>
          </cell>
          <cell r="B23"/>
          <cell r="F23"/>
          <cell r="G23"/>
          <cell r="I23">
            <v>0</v>
          </cell>
          <cell r="J23">
            <v>0</v>
          </cell>
        </row>
        <row r="24">
          <cell r="A24">
            <v>0</v>
          </cell>
          <cell r="B24"/>
          <cell r="F24"/>
          <cell r="G24"/>
          <cell r="I24">
            <v>0</v>
          </cell>
          <cell r="J24">
            <v>0</v>
          </cell>
        </row>
        <row r="25">
          <cell r="A25">
            <v>0</v>
          </cell>
          <cell r="B25"/>
          <cell r="F25"/>
          <cell r="G25"/>
          <cell r="I25">
            <v>0</v>
          </cell>
          <cell r="J25">
            <v>0</v>
          </cell>
        </row>
        <row r="26">
          <cell r="A26">
            <v>0</v>
          </cell>
          <cell r="B26"/>
          <cell r="F26"/>
          <cell r="G26"/>
          <cell r="I26">
            <v>0</v>
          </cell>
          <cell r="J26">
            <v>0</v>
          </cell>
        </row>
        <row r="27">
          <cell r="A27">
            <v>0</v>
          </cell>
          <cell r="B27"/>
          <cell r="F27"/>
          <cell r="G27"/>
          <cell r="I27">
            <v>0</v>
          </cell>
          <cell r="J27">
            <v>0</v>
          </cell>
        </row>
        <row r="28">
          <cell r="A28">
            <v>0</v>
          </cell>
          <cell r="B28"/>
          <cell r="F28"/>
          <cell r="G28"/>
          <cell r="I28">
            <v>0</v>
          </cell>
          <cell r="J28">
            <v>0</v>
          </cell>
        </row>
        <row r="29">
          <cell r="A29">
            <v>0</v>
          </cell>
          <cell r="B29"/>
          <cell r="F29"/>
          <cell r="G29"/>
          <cell r="I29">
            <v>0</v>
          </cell>
          <cell r="J29">
            <v>0</v>
          </cell>
        </row>
        <row r="30">
          <cell r="A30">
            <v>0</v>
          </cell>
          <cell r="B30"/>
          <cell r="F30"/>
          <cell r="G30"/>
          <cell r="I30">
            <v>0</v>
          </cell>
          <cell r="J30">
            <v>0</v>
          </cell>
        </row>
        <row r="31">
          <cell r="A31">
            <v>0</v>
          </cell>
          <cell r="B31"/>
          <cell r="F31"/>
          <cell r="G31"/>
          <cell r="I31">
            <v>0</v>
          </cell>
          <cell r="J31">
            <v>0</v>
          </cell>
        </row>
        <row r="32">
          <cell r="A32">
            <v>0</v>
          </cell>
          <cell r="B32"/>
          <cell r="F32"/>
          <cell r="G32"/>
          <cell r="I32">
            <v>0</v>
          </cell>
          <cell r="J32">
            <v>0</v>
          </cell>
        </row>
        <row r="33">
          <cell r="A33">
            <v>0</v>
          </cell>
          <cell r="B33"/>
          <cell r="F33"/>
          <cell r="G33"/>
          <cell r="I33">
            <v>0</v>
          </cell>
          <cell r="J33">
            <v>0</v>
          </cell>
        </row>
        <row r="34">
          <cell r="A34">
            <v>0</v>
          </cell>
          <cell r="B34"/>
          <cell r="F34"/>
          <cell r="G34"/>
          <cell r="I34">
            <v>0</v>
          </cell>
          <cell r="J34">
            <v>0</v>
          </cell>
        </row>
        <row r="35">
          <cell r="A35">
            <v>0</v>
          </cell>
          <cell r="B35"/>
          <cell r="F35"/>
          <cell r="G35"/>
          <cell r="I35">
            <v>0</v>
          </cell>
          <cell r="J35">
            <v>0</v>
          </cell>
        </row>
        <row r="36">
          <cell r="A36">
            <v>0</v>
          </cell>
          <cell r="B36"/>
          <cell r="F36"/>
          <cell r="G36"/>
          <cell r="I36">
            <v>0</v>
          </cell>
          <cell r="J36">
            <v>0</v>
          </cell>
        </row>
        <row r="37">
          <cell r="A37">
            <v>0</v>
          </cell>
          <cell r="B37"/>
          <cell r="F37"/>
          <cell r="G37"/>
          <cell r="I37">
            <v>0</v>
          </cell>
          <cell r="J37">
            <v>0</v>
          </cell>
        </row>
        <row r="38">
          <cell r="A38">
            <v>0</v>
          </cell>
          <cell r="B38"/>
          <cell r="F38"/>
          <cell r="G38"/>
          <cell r="I38">
            <v>0</v>
          </cell>
          <cell r="J38">
            <v>0</v>
          </cell>
        </row>
        <row r="39">
          <cell r="A39">
            <v>0</v>
          </cell>
          <cell r="B39"/>
          <cell r="F39"/>
          <cell r="G39"/>
          <cell r="I39">
            <v>0</v>
          </cell>
          <cell r="J39">
            <v>0</v>
          </cell>
        </row>
        <row r="40">
          <cell r="A40">
            <v>0</v>
          </cell>
          <cell r="B40"/>
          <cell r="F40"/>
          <cell r="G40"/>
          <cell r="I40">
            <v>0</v>
          </cell>
          <cell r="J40">
            <v>0</v>
          </cell>
        </row>
        <row r="41">
          <cell r="A41">
            <v>0</v>
          </cell>
          <cell r="B41"/>
          <cell r="F41"/>
          <cell r="G41"/>
          <cell r="I41">
            <v>0</v>
          </cell>
          <cell r="J41">
            <v>0</v>
          </cell>
        </row>
        <row r="42">
          <cell r="A42">
            <v>0</v>
          </cell>
          <cell r="B42"/>
          <cell r="F42"/>
          <cell r="G42"/>
          <cell r="I42">
            <v>0</v>
          </cell>
          <cell r="J42">
            <v>0</v>
          </cell>
        </row>
        <row r="43">
          <cell r="A43">
            <v>0</v>
          </cell>
          <cell r="B43"/>
          <cell r="F43"/>
          <cell r="G43"/>
          <cell r="I43">
            <v>0</v>
          </cell>
          <cell r="J43">
            <v>0</v>
          </cell>
        </row>
        <row r="44">
          <cell r="A44">
            <v>0</v>
          </cell>
          <cell r="B44"/>
          <cell r="F44"/>
          <cell r="G44"/>
          <cell r="I44">
            <v>0</v>
          </cell>
          <cell r="J44">
            <v>0</v>
          </cell>
        </row>
        <row r="45">
          <cell r="A45">
            <v>0</v>
          </cell>
          <cell r="B45"/>
          <cell r="F45"/>
          <cell r="G45"/>
          <cell r="I45">
            <v>0</v>
          </cell>
          <cell r="J45">
            <v>0</v>
          </cell>
        </row>
        <row r="46">
          <cell r="A46">
            <v>0</v>
          </cell>
          <cell r="B46"/>
          <cell r="F46"/>
          <cell r="G46"/>
          <cell r="I46">
            <v>0</v>
          </cell>
          <cell r="J46">
            <v>0</v>
          </cell>
        </row>
        <row r="47">
          <cell r="A47">
            <v>0</v>
          </cell>
          <cell r="B47"/>
          <cell r="F47"/>
          <cell r="G47"/>
          <cell r="I47">
            <v>0</v>
          </cell>
          <cell r="J47">
            <v>0</v>
          </cell>
        </row>
        <row r="48">
          <cell r="A48">
            <v>0</v>
          </cell>
          <cell r="B48"/>
          <cell r="F48"/>
          <cell r="G48"/>
          <cell r="I48">
            <v>0</v>
          </cell>
          <cell r="J48">
            <v>0</v>
          </cell>
        </row>
        <row r="49">
          <cell r="A49">
            <v>0</v>
          </cell>
          <cell r="B49"/>
          <cell r="F49"/>
          <cell r="G49"/>
          <cell r="I49">
            <v>0</v>
          </cell>
          <cell r="J49">
            <v>0</v>
          </cell>
        </row>
        <row r="50">
          <cell r="A50">
            <v>0</v>
          </cell>
          <cell r="B50"/>
          <cell r="F50"/>
          <cell r="G50"/>
          <cell r="I50">
            <v>0</v>
          </cell>
          <cell r="J50">
            <v>0</v>
          </cell>
        </row>
        <row r="51">
          <cell r="A51">
            <v>0</v>
          </cell>
          <cell r="B51"/>
          <cell r="F51"/>
          <cell r="G51"/>
          <cell r="I51">
            <v>0</v>
          </cell>
          <cell r="J51">
            <v>0</v>
          </cell>
        </row>
        <row r="52">
          <cell r="A52">
            <v>0</v>
          </cell>
          <cell r="B52"/>
          <cell r="F52"/>
          <cell r="G52"/>
          <cell r="I52">
            <v>0</v>
          </cell>
          <cell r="J52">
            <v>0</v>
          </cell>
        </row>
        <row r="53">
          <cell r="A53">
            <v>0</v>
          </cell>
          <cell r="B53"/>
          <cell r="F53"/>
          <cell r="G53"/>
          <cell r="I53">
            <v>0</v>
          </cell>
          <cell r="J53">
            <v>0</v>
          </cell>
        </row>
        <row r="54">
          <cell r="A54">
            <v>0</v>
          </cell>
          <cell r="B54"/>
          <cell r="F54"/>
          <cell r="G54"/>
          <cell r="I54">
            <v>0</v>
          </cell>
          <cell r="J54">
            <v>0</v>
          </cell>
        </row>
        <row r="55">
          <cell r="A55">
            <v>0</v>
          </cell>
          <cell r="B55"/>
          <cell r="F55"/>
          <cell r="G55"/>
          <cell r="I55">
            <v>0</v>
          </cell>
          <cell r="J55">
            <v>0</v>
          </cell>
        </row>
        <row r="56">
          <cell r="A56">
            <v>0</v>
          </cell>
          <cell r="B56"/>
          <cell r="F56"/>
          <cell r="G56"/>
          <cell r="I56">
            <v>0</v>
          </cell>
          <cell r="J56">
            <v>0</v>
          </cell>
        </row>
        <row r="57">
          <cell r="A57">
            <v>0</v>
          </cell>
          <cell r="B57"/>
          <cell r="F57"/>
          <cell r="G57"/>
          <cell r="I57">
            <v>0</v>
          </cell>
          <cell r="J57">
            <v>0</v>
          </cell>
        </row>
        <row r="58">
          <cell r="A58">
            <v>0</v>
          </cell>
          <cell r="B58"/>
          <cell r="F58"/>
          <cell r="G58"/>
          <cell r="I58">
            <v>0</v>
          </cell>
          <cell r="J58">
            <v>0</v>
          </cell>
        </row>
        <row r="59">
          <cell r="A59">
            <v>0</v>
          </cell>
          <cell r="B59"/>
          <cell r="F59"/>
          <cell r="G59"/>
          <cell r="I59">
            <v>0</v>
          </cell>
          <cell r="J59">
            <v>0</v>
          </cell>
        </row>
        <row r="60">
          <cell r="A60">
            <v>0</v>
          </cell>
          <cell r="B60"/>
          <cell r="F60"/>
          <cell r="G60"/>
          <cell r="I60">
            <v>0</v>
          </cell>
          <cell r="J60">
            <v>0</v>
          </cell>
        </row>
        <row r="61">
          <cell r="A61">
            <v>0</v>
          </cell>
          <cell r="B61"/>
          <cell r="F61"/>
          <cell r="G61"/>
          <cell r="I61">
            <v>0</v>
          </cell>
          <cell r="J61">
            <v>0</v>
          </cell>
        </row>
        <row r="62">
          <cell r="A62">
            <v>0</v>
          </cell>
          <cell r="B62"/>
          <cell r="F62"/>
          <cell r="G62"/>
          <cell r="I62">
            <v>0</v>
          </cell>
          <cell r="J62">
            <v>0</v>
          </cell>
        </row>
        <row r="63">
          <cell r="A63">
            <v>0</v>
          </cell>
          <cell r="B63"/>
          <cell r="F63"/>
          <cell r="G63"/>
          <cell r="I63">
            <v>0</v>
          </cell>
          <cell r="J63">
            <v>0</v>
          </cell>
        </row>
        <row r="64">
          <cell r="A64">
            <v>0</v>
          </cell>
          <cell r="B64"/>
          <cell r="F64"/>
          <cell r="G64"/>
          <cell r="I64">
            <v>0</v>
          </cell>
          <cell r="J64">
            <v>0</v>
          </cell>
        </row>
        <row r="65">
          <cell r="A65">
            <v>0</v>
          </cell>
          <cell r="B65"/>
          <cell r="F65"/>
          <cell r="G65"/>
          <cell r="I65">
            <v>0</v>
          </cell>
          <cell r="J65">
            <v>0</v>
          </cell>
        </row>
        <row r="66">
          <cell r="A66">
            <v>0</v>
          </cell>
          <cell r="B66"/>
          <cell r="F66"/>
          <cell r="G66"/>
          <cell r="I66">
            <v>0</v>
          </cell>
          <cell r="J66">
            <v>0</v>
          </cell>
        </row>
        <row r="67">
          <cell r="A67">
            <v>0</v>
          </cell>
          <cell r="B67"/>
          <cell r="F67"/>
          <cell r="G67"/>
          <cell r="I67">
            <v>0</v>
          </cell>
          <cell r="J67">
            <v>0</v>
          </cell>
        </row>
        <row r="68">
          <cell r="A68">
            <v>0</v>
          </cell>
          <cell r="B68"/>
          <cell r="F68"/>
          <cell r="G68"/>
          <cell r="I68">
            <v>0</v>
          </cell>
          <cell r="J68">
            <v>0</v>
          </cell>
        </row>
        <row r="69">
          <cell r="A69">
            <v>0</v>
          </cell>
          <cell r="B69"/>
          <cell r="F69"/>
          <cell r="G69"/>
          <cell r="I69">
            <v>0</v>
          </cell>
          <cell r="J69">
            <v>0</v>
          </cell>
        </row>
        <row r="70">
          <cell r="A70">
            <v>0</v>
          </cell>
          <cell r="B70"/>
          <cell r="F70"/>
          <cell r="G70"/>
          <cell r="I70">
            <v>0</v>
          </cell>
          <cell r="J70">
            <v>0</v>
          </cell>
        </row>
        <row r="71">
          <cell r="A71">
            <v>0</v>
          </cell>
          <cell r="B71"/>
          <cell r="F71"/>
          <cell r="G71"/>
          <cell r="I71">
            <v>0</v>
          </cell>
          <cell r="J71">
            <v>0</v>
          </cell>
        </row>
        <row r="72">
          <cell r="A72">
            <v>0</v>
          </cell>
          <cell r="B72"/>
          <cell r="F72"/>
          <cell r="G72"/>
          <cell r="I72">
            <v>0</v>
          </cell>
          <cell r="J72">
            <v>0</v>
          </cell>
        </row>
        <row r="73">
          <cell r="A73">
            <v>0</v>
          </cell>
          <cell r="B73"/>
          <cell r="F73"/>
          <cell r="G73"/>
          <cell r="I73">
            <v>0</v>
          </cell>
          <cell r="J73">
            <v>0</v>
          </cell>
        </row>
        <row r="74">
          <cell r="A74">
            <v>0</v>
          </cell>
          <cell r="B74"/>
          <cell r="F74"/>
          <cell r="G74"/>
          <cell r="I74">
            <v>0</v>
          </cell>
          <cell r="J74">
            <v>0</v>
          </cell>
        </row>
        <row r="75">
          <cell r="A75">
            <v>0</v>
          </cell>
          <cell r="B75"/>
          <cell r="F75"/>
          <cell r="G75"/>
          <cell r="I75">
            <v>0</v>
          </cell>
          <cell r="J75">
            <v>0</v>
          </cell>
        </row>
        <row r="76">
          <cell r="A76">
            <v>0</v>
          </cell>
          <cell r="B76"/>
          <cell r="F76"/>
          <cell r="G76"/>
          <cell r="I76">
            <v>0</v>
          </cell>
          <cell r="J76">
            <v>0</v>
          </cell>
        </row>
        <row r="77">
          <cell r="A77">
            <v>0</v>
          </cell>
          <cell r="B77"/>
          <cell r="F77"/>
          <cell r="G77"/>
          <cell r="I77">
            <v>0</v>
          </cell>
          <cell r="J77">
            <v>0</v>
          </cell>
        </row>
        <row r="78">
          <cell r="A78">
            <v>0</v>
          </cell>
          <cell r="B78"/>
          <cell r="F78"/>
          <cell r="G78"/>
          <cell r="I78">
            <v>0</v>
          </cell>
          <cell r="J78">
            <v>0</v>
          </cell>
        </row>
        <row r="79">
          <cell r="A79">
            <v>0</v>
          </cell>
          <cell r="B79"/>
          <cell r="F79"/>
          <cell r="G79"/>
          <cell r="I79">
            <v>0</v>
          </cell>
          <cell r="J79">
            <v>0</v>
          </cell>
        </row>
        <row r="80">
          <cell r="A80">
            <v>0</v>
          </cell>
          <cell r="B80"/>
          <cell r="F80"/>
          <cell r="G80"/>
          <cell r="I80">
            <v>0</v>
          </cell>
          <cell r="J80">
            <v>0</v>
          </cell>
        </row>
        <row r="81">
          <cell r="A81">
            <v>0</v>
          </cell>
          <cell r="B81"/>
          <cell r="F81"/>
          <cell r="G81"/>
          <cell r="I81">
            <v>0</v>
          </cell>
          <cell r="J81">
            <v>0</v>
          </cell>
        </row>
        <row r="82">
          <cell r="A82">
            <v>0</v>
          </cell>
          <cell r="B82"/>
          <cell r="F82"/>
          <cell r="G82"/>
          <cell r="I82">
            <v>0</v>
          </cell>
          <cell r="J82">
            <v>0</v>
          </cell>
        </row>
        <row r="83">
          <cell r="A83">
            <v>0</v>
          </cell>
          <cell r="B83"/>
          <cell r="F83"/>
          <cell r="G83"/>
          <cell r="I83">
            <v>0</v>
          </cell>
          <cell r="J83">
            <v>0</v>
          </cell>
        </row>
        <row r="84">
          <cell r="A84">
            <v>0</v>
          </cell>
          <cell r="B84"/>
          <cell r="F84"/>
          <cell r="G84"/>
          <cell r="I84">
            <v>0</v>
          </cell>
          <cell r="J84">
            <v>0</v>
          </cell>
        </row>
        <row r="85">
          <cell r="A85">
            <v>0</v>
          </cell>
          <cell r="B85"/>
          <cell r="F85"/>
          <cell r="G85"/>
          <cell r="I85">
            <v>0</v>
          </cell>
          <cell r="J85">
            <v>0</v>
          </cell>
        </row>
        <row r="86">
          <cell r="A86">
            <v>0</v>
          </cell>
          <cell r="B86"/>
          <cell r="F86"/>
          <cell r="G86"/>
          <cell r="I86">
            <v>0</v>
          </cell>
          <cell r="J86">
            <v>0</v>
          </cell>
        </row>
        <row r="87">
          <cell r="A87">
            <v>0</v>
          </cell>
          <cell r="B87"/>
          <cell r="F87"/>
          <cell r="G87"/>
          <cell r="I87">
            <v>0</v>
          </cell>
          <cell r="J87">
            <v>0</v>
          </cell>
        </row>
        <row r="88">
          <cell r="A88">
            <v>0</v>
          </cell>
          <cell r="B88"/>
          <cell r="F88"/>
          <cell r="G88"/>
          <cell r="I88">
            <v>0</v>
          </cell>
          <cell r="J88">
            <v>0</v>
          </cell>
        </row>
        <row r="89">
          <cell r="A89">
            <v>0</v>
          </cell>
          <cell r="B89"/>
          <cell r="F89"/>
          <cell r="G89"/>
          <cell r="I89">
            <v>0</v>
          </cell>
          <cell r="J89">
            <v>0</v>
          </cell>
        </row>
        <row r="90">
          <cell r="A90">
            <v>0</v>
          </cell>
          <cell r="B90"/>
          <cell r="F90"/>
          <cell r="G90"/>
          <cell r="I90">
            <v>0</v>
          </cell>
          <cell r="J90">
            <v>0</v>
          </cell>
        </row>
        <row r="91">
          <cell r="A91">
            <v>0</v>
          </cell>
          <cell r="B91"/>
          <cell r="F91"/>
          <cell r="G91"/>
          <cell r="I91">
            <v>0</v>
          </cell>
          <cell r="J91">
            <v>0</v>
          </cell>
        </row>
        <row r="92">
          <cell r="A92">
            <v>0</v>
          </cell>
          <cell r="B92"/>
          <cell r="F92"/>
          <cell r="G92"/>
          <cell r="I92">
            <v>0</v>
          </cell>
          <cell r="J92">
            <v>0</v>
          </cell>
        </row>
        <row r="93">
          <cell r="A93">
            <v>0</v>
          </cell>
          <cell r="B93"/>
          <cell r="F93"/>
          <cell r="G93"/>
          <cell r="I93">
            <v>0</v>
          </cell>
          <cell r="J93">
            <v>0</v>
          </cell>
        </row>
        <row r="94">
          <cell r="A94">
            <v>0</v>
          </cell>
          <cell r="B94"/>
          <cell r="F94"/>
          <cell r="G94"/>
          <cell r="I94">
            <v>0</v>
          </cell>
          <cell r="J94">
            <v>0</v>
          </cell>
        </row>
        <row r="95">
          <cell r="A95">
            <v>0</v>
          </cell>
          <cell r="B95"/>
          <cell r="F95"/>
          <cell r="G95"/>
          <cell r="I95">
            <v>0</v>
          </cell>
          <cell r="J95">
            <v>0</v>
          </cell>
        </row>
        <row r="96">
          <cell r="A96">
            <v>0</v>
          </cell>
          <cell r="B96"/>
          <cell r="F96"/>
          <cell r="G96"/>
          <cell r="I96">
            <v>0</v>
          </cell>
          <cell r="J96">
            <v>0</v>
          </cell>
        </row>
        <row r="97">
          <cell r="A97">
            <v>0</v>
          </cell>
          <cell r="B97"/>
          <cell r="F97"/>
          <cell r="G97"/>
          <cell r="I97">
            <v>0</v>
          </cell>
          <cell r="J97">
            <v>0</v>
          </cell>
        </row>
        <row r="98">
          <cell r="A98">
            <v>0</v>
          </cell>
          <cell r="B98"/>
          <cell r="F98"/>
          <cell r="G98"/>
          <cell r="I98">
            <v>0</v>
          </cell>
          <cell r="J98">
            <v>0</v>
          </cell>
        </row>
        <row r="99">
          <cell r="A99">
            <v>0</v>
          </cell>
          <cell r="B99"/>
          <cell r="F99"/>
          <cell r="G99"/>
          <cell r="I99">
            <v>0</v>
          </cell>
          <cell r="J99">
            <v>0</v>
          </cell>
        </row>
        <row r="100">
          <cell r="A100">
            <v>0</v>
          </cell>
          <cell r="B100"/>
          <cell r="F100"/>
          <cell r="G100"/>
          <cell r="I100">
            <v>0</v>
          </cell>
          <cell r="J100">
            <v>0</v>
          </cell>
        </row>
        <row r="101">
          <cell r="A101">
            <v>0</v>
          </cell>
          <cell r="B101"/>
          <cell r="F101"/>
          <cell r="G101"/>
          <cell r="I101">
            <v>0</v>
          </cell>
          <cell r="J101">
            <v>0</v>
          </cell>
        </row>
        <row r="102">
          <cell r="A102">
            <v>0</v>
          </cell>
          <cell r="B102"/>
          <cell r="F102"/>
          <cell r="G102"/>
          <cell r="I102">
            <v>0</v>
          </cell>
          <cell r="J102">
            <v>0</v>
          </cell>
        </row>
        <row r="103">
          <cell r="A103">
            <v>0</v>
          </cell>
          <cell r="B103"/>
          <cell r="F103"/>
          <cell r="G103"/>
          <cell r="I103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ws@madi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.ryasov@madi.ru" TargetMode="External"/><Relationship Id="rId1" Type="http://schemas.openxmlformats.org/officeDocument/2006/relationships/hyperlink" Target="mailto:s.ryasov@madi.r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EB2D-4CD3-47CF-B7F3-9769E54F824F}">
  <dimension ref="A1:B14"/>
  <sheetViews>
    <sheetView workbookViewId="0">
      <selection activeCell="B6" sqref="B6"/>
    </sheetView>
  </sheetViews>
  <sheetFormatPr defaultColWidth="0" defaultRowHeight="15" zeroHeight="1" x14ac:dyDescent="0.25"/>
  <cols>
    <col min="1" max="1" width="59.5703125" bestFit="1" customWidth="1"/>
    <col min="2" max="2" width="56" customWidth="1"/>
    <col min="3" max="16384" width="9" hidden="1"/>
  </cols>
  <sheetData>
    <row r="1" spans="1:2" ht="18.75" x14ac:dyDescent="0.3">
      <c r="A1" s="49" t="s">
        <v>96</v>
      </c>
      <c r="B1" s="49"/>
    </row>
    <row r="2" spans="1:2" ht="18.75" x14ac:dyDescent="0.25">
      <c r="A2" s="35" t="s">
        <v>97</v>
      </c>
      <c r="B2" s="36" t="s">
        <v>114</v>
      </c>
    </row>
    <row r="3" spans="1:2" ht="18.75" x14ac:dyDescent="0.25">
      <c r="A3" s="35" t="s">
        <v>93</v>
      </c>
      <c r="B3" s="36" t="s">
        <v>121</v>
      </c>
    </row>
    <row r="4" spans="1:2" ht="37.5" x14ac:dyDescent="0.25">
      <c r="A4" s="37" t="s">
        <v>95</v>
      </c>
      <c r="B4" s="36">
        <v>5</v>
      </c>
    </row>
    <row r="5" spans="1:2" ht="37.5" x14ac:dyDescent="0.25">
      <c r="A5" s="37" t="s">
        <v>94</v>
      </c>
      <c r="B5" s="36">
        <v>5</v>
      </c>
    </row>
    <row r="6" spans="1:2" ht="18.75" x14ac:dyDescent="0.25">
      <c r="A6" s="37" t="s">
        <v>102</v>
      </c>
      <c r="B6" s="36" t="s">
        <v>103</v>
      </c>
    </row>
    <row r="7" spans="1:2" ht="37.5" x14ac:dyDescent="0.25">
      <c r="A7" s="37" t="s">
        <v>105</v>
      </c>
      <c r="B7" s="36" t="s">
        <v>107</v>
      </c>
    </row>
    <row r="8" spans="1:2" ht="37.5" x14ac:dyDescent="0.25">
      <c r="A8" s="37" t="s">
        <v>106</v>
      </c>
      <c r="B8" s="40" t="s">
        <v>112</v>
      </c>
    </row>
    <row r="9" spans="1:2" ht="18.75" x14ac:dyDescent="0.3">
      <c r="A9" s="49" t="s">
        <v>120</v>
      </c>
      <c r="B9" s="49"/>
    </row>
    <row r="10" spans="1:2" ht="18.75" x14ac:dyDescent="0.3">
      <c r="A10" s="38" t="s">
        <v>119</v>
      </c>
      <c r="B10" s="39" t="s">
        <v>5</v>
      </c>
    </row>
    <row r="11" spans="1:2" x14ac:dyDescent="0.25"/>
    <row r="12" spans="1:2" x14ac:dyDescent="0.25"/>
    <row r="13" spans="1:2" x14ac:dyDescent="0.25"/>
    <row r="14" spans="1:2" x14ac:dyDescent="0.25"/>
  </sheetData>
  <mergeCells count="2">
    <mergeCell ref="A1:B1"/>
    <mergeCell ref="A9:B9"/>
  </mergeCells>
  <hyperlinks>
    <hyperlink ref="B8" r:id="rId1" xr:uid="{75C4B595-3C83-4E6C-ABB0-AF5F42D8EFC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workbookViewId="0">
      <selection activeCell="A7" sqref="A7:G7"/>
    </sheetView>
  </sheetViews>
  <sheetFormatPr defaultColWidth="0" defaultRowHeight="15" zeroHeight="1" x14ac:dyDescent="0.25"/>
  <cols>
    <col min="1" max="1" width="37.28515625" customWidth="1"/>
    <col min="2" max="2" width="17.5703125" customWidth="1"/>
    <col min="3" max="3" width="14" customWidth="1"/>
    <col min="4" max="4" width="12.85546875" customWidth="1"/>
    <col min="5" max="5" width="12.28515625" customWidth="1"/>
    <col min="6" max="6" width="11.28515625" customWidth="1"/>
    <col min="7" max="8" width="9" customWidth="1"/>
    <col min="9" max="10" width="12.85546875" customWidth="1"/>
    <col min="11" max="11" width="11.28515625" bestFit="1" customWidth="1"/>
    <col min="12" max="12" width="13.140625" customWidth="1"/>
    <col min="13" max="13" width="15" customWidth="1"/>
    <col min="14" max="14" width="13.7109375" customWidth="1"/>
    <col min="15" max="15" width="13.42578125" customWidth="1"/>
    <col min="16" max="16" width="5.42578125" customWidth="1"/>
    <col min="17" max="16384" width="9" hidden="1"/>
  </cols>
  <sheetData>
    <row r="1" spans="1:15" ht="34.5" customHeight="1" x14ac:dyDescent="0.25">
      <c r="A1" s="50" t="s">
        <v>116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ht="38.25" customHeight="1" x14ac:dyDescent="0.25">
      <c r="A2" s="41"/>
      <c r="B2" s="41"/>
      <c r="C2" s="41"/>
      <c r="D2" s="53" t="s">
        <v>118</v>
      </c>
      <c r="E2" s="53"/>
      <c r="F2" s="53"/>
      <c r="G2" s="53"/>
      <c r="H2" s="53"/>
      <c r="I2" s="53"/>
      <c r="J2" s="41"/>
      <c r="K2" s="41"/>
      <c r="L2" s="41"/>
      <c r="M2" s="41"/>
      <c r="N2" s="41"/>
      <c r="O2" s="41"/>
    </row>
    <row r="3" spans="1:15" ht="31.5" customHeight="1" x14ac:dyDescent="0.25">
      <c r="A3" s="51" t="s">
        <v>0</v>
      </c>
      <c r="B3" s="51" t="s">
        <v>1</v>
      </c>
      <c r="C3" s="52" t="s">
        <v>11</v>
      </c>
      <c r="D3" s="52" t="s">
        <v>10</v>
      </c>
      <c r="E3" s="51" t="s">
        <v>9</v>
      </c>
      <c r="F3" s="51" t="s">
        <v>110</v>
      </c>
      <c r="G3" s="51"/>
      <c r="H3" s="51" t="s">
        <v>2</v>
      </c>
      <c r="I3" s="51" t="s">
        <v>7</v>
      </c>
      <c r="J3" s="34"/>
      <c r="K3" s="51" t="s">
        <v>110</v>
      </c>
      <c r="L3" s="51"/>
      <c r="M3" s="51" t="s">
        <v>8</v>
      </c>
      <c r="N3" s="51" t="s">
        <v>110</v>
      </c>
      <c r="O3" s="51"/>
    </row>
    <row r="4" spans="1:15" ht="66" customHeight="1" x14ac:dyDescent="0.25">
      <c r="A4" s="51"/>
      <c r="B4" s="51"/>
      <c r="C4" s="52"/>
      <c r="D4" s="52"/>
      <c r="E4" s="51"/>
      <c r="F4" s="33" t="s">
        <v>3</v>
      </c>
      <c r="G4" s="33" t="s">
        <v>4</v>
      </c>
      <c r="H4" s="51"/>
      <c r="I4" s="51"/>
      <c r="J4" s="34" t="s">
        <v>15</v>
      </c>
      <c r="K4" s="33" t="s">
        <v>3</v>
      </c>
      <c r="L4" s="33" t="s">
        <v>4</v>
      </c>
      <c r="M4" s="51"/>
      <c r="N4" s="34" t="s">
        <v>3</v>
      </c>
      <c r="O4" s="34" t="s">
        <v>4</v>
      </c>
    </row>
    <row r="5" spans="1:15" s="11" customFormat="1" ht="16.5" customHeight="1" x14ac:dyDescent="0.2">
      <c r="A5" s="9">
        <v>1</v>
      </c>
      <c r="B5" s="9">
        <v>2</v>
      </c>
      <c r="C5" s="46">
        <v>3</v>
      </c>
      <c r="D5" s="46">
        <v>4</v>
      </c>
      <c r="E5" s="9" t="s">
        <v>111</v>
      </c>
      <c r="F5" s="9">
        <v>6</v>
      </c>
      <c r="G5" s="9">
        <v>7</v>
      </c>
      <c r="H5" s="10">
        <v>8</v>
      </c>
      <c r="I5" s="9">
        <v>9</v>
      </c>
      <c r="J5" s="9">
        <v>10</v>
      </c>
      <c r="K5" s="9">
        <v>11</v>
      </c>
      <c r="L5" s="9">
        <v>12</v>
      </c>
      <c r="M5" s="9">
        <v>13</v>
      </c>
      <c r="N5" s="9">
        <v>14</v>
      </c>
      <c r="O5" s="9">
        <v>15</v>
      </c>
    </row>
    <row r="6" spans="1:15" ht="17.25" customHeight="1" x14ac:dyDescent="0.25">
      <c r="A6" s="2" t="s">
        <v>117</v>
      </c>
      <c r="B6" s="13" t="s">
        <v>115</v>
      </c>
      <c r="C6" s="48">
        <v>590</v>
      </c>
      <c r="D6" s="47">
        <v>2</v>
      </c>
      <c r="E6" s="13">
        <f>F6+G6</f>
        <v>49</v>
      </c>
      <c r="F6" s="13">
        <v>0</v>
      </c>
      <c r="G6" s="13">
        <v>49</v>
      </c>
      <c r="H6" s="13">
        <f>E6*D6</f>
        <v>98</v>
      </c>
      <c r="I6" s="4">
        <f>H6*C6</f>
        <v>57820</v>
      </c>
      <c r="J6" s="3">
        <f>I6*13%</f>
        <v>7516.6</v>
      </c>
      <c r="K6" s="3">
        <f>C6*D6*F6</f>
        <v>0</v>
      </c>
      <c r="L6" s="3">
        <f>C6*D6*G6</f>
        <v>57820</v>
      </c>
      <c r="M6" s="4">
        <f>I6*1.3</f>
        <v>75166</v>
      </c>
      <c r="N6" s="3">
        <f>K6*1.3</f>
        <v>0</v>
      </c>
      <c r="O6" s="3">
        <f>L6*1.3</f>
        <v>75166</v>
      </c>
    </row>
    <row r="7" spans="1:15" ht="16.5" x14ac:dyDescent="0.25">
      <c r="A7" s="55" t="s">
        <v>6</v>
      </c>
      <c r="B7" s="55"/>
      <c r="C7" s="55"/>
      <c r="D7" s="55"/>
      <c r="E7" s="55"/>
      <c r="F7" s="55"/>
      <c r="G7" s="56"/>
      <c r="H7" s="13">
        <f>SUM(H6:H6)</f>
        <v>98</v>
      </c>
      <c r="I7" s="4">
        <f>SUM(I6:I6)</f>
        <v>57820</v>
      </c>
      <c r="J7" s="4">
        <f>SUM(J6:J6)</f>
        <v>7516.6</v>
      </c>
      <c r="K7" s="4">
        <f>SUM(K6:K6)</f>
        <v>0</v>
      </c>
      <c r="L7" s="4">
        <f>SUM(L6:L6)</f>
        <v>57820</v>
      </c>
      <c r="M7" s="4">
        <f>SUM(M6:M6)</f>
        <v>75166</v>
      </c>
      <c r="N7" s="4">
        <f>SUM(N6:N6)</f>
        <v>0</v>
      </c>
      <c r="O7" s="4">
        <f>SUM(O6:O6)</f>
        <v>75166</v>
      </c>
    </row>
    <row r="8" spans="1:15" ht="16.5" x14ac:dyDescent="0.25">
      <c r="A8" s="1"/>
      <c r="B8" s="1"/>
      <c r="C8" s="1"/>
      <c r="D8" s="1"/>
      <c r="E8" s="1"/>
      <c r="F8" s="1"/>
      <c r="G8" s="1"/>
      <c r="H8" s="5"/>
      <c r="I8" s="5"/>
      <c r="J8" s="5"/>
      <c r="K8" s="6"/>
      <c r="L8" s="6"/>
      <c r="M8" s="7"/>
      <c r="N8" s="6"/>
      <c r="O8" s="6"/>
    </row>
    <row r="9" spans="1:15" ht="43.5" customHeight="1" x14ac:dyDescent="0.25">
      <c r="A9" s="54" t="str">
        <f>'Исходные данные'!B3</f>
        <v>Кафедра "Наименование кафедры"</v>
      </c>
      <c r="B9" s="54"/>
      <c r="C9" s="54"/>
      <c r="D9" s="8"/>
      <c r="E9" s="8"/>
      <c r="F9" s="54" t="str">
        <f>'Исходные данные'!B6</f>
        <v>Верещагин С.Б.</v>
      </c>
      <c r="G9" s="54"/>
      <c r="H9" s="54"/>
      <c r="I9" s="54"/>
      <c r="J9" s="12"/>
      <c r="K9" s="1"/>
      <c r="L9" s="1"/>
      <c r="M9" s="45"/>
      <c r="N9" s="1"/>
      <c r="O9" s="1"/>
    </row>
    <row r="10" spans="1:15" ht="49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6.5" customHeight="1" x14ac:dyDescent="0.25">
      <c r="A11" s="54" t="s">
        <v>12</v>
      </c>
      <c r="B11" s="5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6.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33.75" customHeight="1" x14ac:dyDescent="0.25">
      <c r="A13" s="54" t="s">
        <v>13</v>
      </c>
      <c r="B13" s="54"/>
      <c r="C13" s="54"/>
      <c r="D13" s="8"/>
      <c r="E13" s="8"/>
      <c r="F13" s="54" t="s">
        <v>14</v>
      </c>
      <c r="G13" s="54"/>
      <c r="H13" s="1"/>
      <c r="I13" s="1"/>
      <c r="J13" s="1"/>
      <c r="K13" s="1"/>
      <c r="L13" s="1"/>
      <c r="M13" s="1"/>
      <c r="N13" s="1"/>
      <c r="O13" s="1"/>
    </row>
    <row r="14" spans="1:15" ht="16.5" hidden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6.5" hidden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/>
    <row r="17" x14ac:dyDescent="0.25"/>
    <row r="18" x14ac:dyDescent="0.25"/>
    <row r="19" x14ac:dyDescent="0.25"/>
  </sheetData>
  <sheetProtection formatCells="0" formatColumns="0" formatRows="0" insertColumns="0" insertRows="0" insertHyperlinks="0" deleteColumns="0" deleteRows="0" sort="0" autoFilter="0" pivotTables="0"/>
  <mergeCells count="19">
    <mergeCell ref="A13:C13"/>
    <mergeCell ref="F13:G13"/>
    <mergeCell ref="M3:M4"/>
    <mergeCell ref="N3:O3"/>
    <mergeCell ref="A7:G7"/>
    <mergeCell ref="A9:C9"/>
    <mergeCell ref="F9:I9"/>
    <mergeCell ref="A11:B11"/>
    <mergeCell ref="A1:O1"/>
    <mergeCell ref="A3:A4"/>
    <mergeCell ref="B3:B4"/>
    <mergeCell ref="C3:C4"/>
    <mergeCell ref="D3:D4"/>
    <mergeCell ref="E3:E4"/>
    <mergeCell ref="F3:G3"/>
    <mergeCell ref="H3:H4"/>
    <mergeCell ref="I3:I4"/>
    <mergeCell ref="K3:L3"/>
    <mergeCell ref="D2:I2"/>
  </mergeCells>
  <pageMargins left="0.7" right="0.7" top="0.75" bottom="0.75" header="0.3" footer="0.3"/>
  <pageSetup paperSize="9" scale="62" fitToHeight="0" orientation="landscape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1F96-8A43-4469-8A13-B10631D809CB}">
  <sheetPr>
    <pageSetUpPr fitToPage="1"/>
  </sheetPr>
  <dimension ref="A1:AK163"/>
  <sheetViews>
    <sheetView topLeftCell="A15" zoomScaleNormal="100" workbookViewId="0">
      <selection activeCell="AC18" sqref="AC18:AF18"/>
    </sheetView>
  </sheetViews>
  <sheetFormatPr defaultColWidth="0" defaultRowHeight="15.75" zeroHeight="1" x14ac:dyDescent="0.25"/>
  <cols>
    <col min="1" max="37" width="4.28515625" style="14" customWidth="1"/>
    <col min="38" max="16384" width="9" style="14" hidden="1"/>
  </cols>
  <sheetData>
    <row r="1" spans="1:36" x14ac:dyDescent="0.25">
      <c r="AA1" s="61" t="s">
        <v>16</v>
      </c>
      <c r="AB1" s="61"/>
      <c r="AC1" s="61"/>
      <c r="AD1" s="61"/>
      <c r="AE1" s="61"/>
      <c r="AF1" s="61"/>
      <c r="AG1" s="61"/>
      <c r="AH1" s="61"/>
      <c r="AI1" s="61"/>
      <c r="AJ1" s="61"/>
    </row>
    <row r="2" spans="1:36" x14ac:dyDescent="0.25">
      <c r="AA2" s="61" t="s">
        <v>17</v>
      </c>
      <c r="AB2" s="61"/>
      <c r="AC2" s="61"/>
      <c r="AD2" s="61"/>
      <c r="AE2" s="61"/>
      <c r="AF2" s="61"/>
      <c r="AG2" s="61"/>
      <c r="AH2" s="61"/>
      <c r="AI2" s="61"/>
      <c r="AJ2" s="61"/>
    </row>
    <row r="3" spans="1:36" x14ac:dyDescent="0.25"/>
    <row r="4" spans="1:36" ht="19.5" customHeight="1" x14ac:dyDescent="0.25">
      <c r="AA4" s="62" t="s">
        <v>18</v>
      </c>
      <c r="AB4" s="62"/>
      <c r="AC4" s="62"/>
      <c r="AD4" s="62"/>
      <c r="AE4" s="62"/>
      <c r="AF4" s="62"/>
      <c r="AG4" s="62"/>
      <c r="AH4" s="62"/>
      <c r="AI4" s="62"/>
      <c r="AJ4" s="62"/>
    </row>
    <row r="5" spans="1:36" ht="18.75" x14ac:dyDescent="0.25">
      <c r="A5" s="63" t="s">
        <v>19</v>
      </c>
      <c r="B5" s="63"/>
      <c r="C5" s="63"/>
      <c r="D5" s="63"/>
      <c r="E5" s="63"/>
      <c r="F5" s="63"/>
      <c r="G5" s="64"/>
      <c r="H5" s="64"/>
      <c r="I5" s="64"/>
      <c r="AA5" s="65"/>
      <c r="AB5" s="66"/>
      <c r="AC5" s="66"/>
      <c r="AD5" s="66"/>
      <c r="AE5" s="66"/>
      <c r="AF5" s="66"/>
      <c r="AG5" s="66"/>
      <c r="AH5" s="66"/>
      <c r="AI5" s="66"/>
      <c r="AJ5" s="66"/>
    </row>
    <row r="6" spans="1:36" x14ac:dyDescent="0.25">
      <c r="A6" s="57" t="s">
        <v>20</v>
      </c>
      <c r="B6" s="57"/>
      <c r="C6" s="57"/>
      <c r="D6" s="57"/>
      <c r="E6" s="57"/>
      <c r="F6" s="57"/>
      <c r="G6" s="58"/>
      <c r="H6" s="58"/>
      <c r="I6" s="58"/>
      <c r="J6" s="58"/>
      <c r="AA6" s="67" t="s">
        <v>21</v>
      </c>
      <c r="AB6" s="67"/>
      <c r="AC6" s="67"/>
      <c r="AD6" s="67"/>
      <c r="AE6" s="67"/>
      <c r="AF6" s="67"/>
      <c r="AG6" s="67"/>
      <c r="AH6" s="67"/>
      <c r="AI6" s="67"/>
      <c r="AJ6" s="67"/>
    </row>
    <row r="7" spans="1:36" ht="18.75" x14ac:dyDescent="0.25">
      <c r="A7" s="57" t="s">
        <v>22</v>
      </c>
      <c r="B7" s="57"/>
      <c r="C7" s="57"/>
      <c r="D7" s="57"/>
      <c r="E7" s="57"/>
      <c r="F7" s="57"/>
      <c r="G7" s="58"/>
      <c r="H7" s="58"/>
      <c r="I7" s="58"/>
      <c r="J7" s="58"/>
      <c r="AA7" s="59"/>
      <c r="AB7" s="59"/>
      <c r="AC7" s="59"/>
      <c r="AD7" s="59"/>
      <c r="AE7" s="59"/>
      <c r="AF7" s="59"/>
      <c r="AG7" s="59"/>
      <c r="AH7" s="59"/>
      <c r="AI7" s="59"/>
      <c r="AJ7" s="59"/>
    </row>
    <row r="8" spans="1:36" x14ac:dyDescent="0.25">
      <c r="A8" s="57" t="s">
        <v>23</v>
      </c>
      <c r="B8" s="57"/>
      <c r="C8" s="57"/>
      <c r="D8" s="57"/>
      <c r="E8" s="57"/>
      <c r="F8" s="57"/>
      <c r="G8" s="58"/>
      <c r="H8" s="58"/>
      <c r="I8" s="58"/>
      <c r="J8" s="58"/>
      <c r="AA8" s="60" t="s">
        <v>24</v>
      </c>
      <c r="AB8" s="60"/>
      <c r="AC8" s="60"/>
      <c r="AD8" s="60"/>
      <c r="AE8" s="60"/>
      <c r="AF8" s="60"/>
      <c r="AG8" s="60"/>
      <c r="AH8" s="60"/>
      <c r="AI8" s="60"/>
      <c r="AJ8" s="60"/>
    </row>
    <row r="9" spans="1:36" x14ac:dyDescent="0.25">
      <c r="A9" s="15" t="s">
        <v>25</v>
      </c>
      <c r="B9" s="15"/>
      <c r="C9" s="15"/>
      <c r="D9" s="15"/>
      <c r="E9" s="15"/>
      <c r="F9" s="15"/>
      <c r="G9" s="58"/>
      <c r="H9" s="58"/>
      <c r="I9" s="58"/>
      <c r="J9" s="58"/>
      <c r="AA9" s="68" t="s">
        <v>26</v>
      </c>
      <c r="AB9" s="68"/>
      <c r="AC9" s="68"/>
      <c r="AD9" s="68"/>
      <c r="AE9" s="68"/>
      <c r="AF9" s="68"/>
      <c r="AG9" s="68"/>
      <c r="AH9" s="68"/>
      <c r="AI9" s="68"/>
      <c r="AJ9" s="68"/>
    </row>
    <row r="10" spans="1:36" x14ac:dyDescent="0.25">
      <c r="J10" s="16"/>
      <c r="K10" s="16"/>
      <c r="AH10" s="14" t="s">
        <v>27</v>
      </c>
    </row>
    <row r="11" spans="1:36" ht="18.75" x14ac:dyDescent="0.25">
      <c r="A11" s="69" t="s">
        <v>28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</row>
    <row r="12" spans="1:36" ht="18.75" x14ac:dyDescent="0.25">
      <c r="A12" s="69" t="s">
        <v>29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</row>
    <row r="13" spans="1:36" ht="15" customHeight="1" x14ac:dyDescent="0.25"/>
    <row r="14" spans="1:36" ht="15" customHeight="1" x14ac:dyDescent="0.25">
      <c r="A14" s="17" t="s">
        <v>30</v>
      </c>
      <c r="G14" s="18" t="str">
        <f>'Исходные данные'!B3</f>
        <v>Кафедра "Наименование кафедры"</v>
      </c>
      <c r="H14" s="1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</row>
    <row r="15" spans="1:36" x14ac:dyDescent="0.25">
      <c r="A15" s="70" t="s">
        <v>31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</row>
    <row r="16" spans="1:36" x14ac:dyDescent="0.25">
      <c r="A16" s="20" t="s">
        <v>32</v>
      </c>
    </row>
    <row r="17" spans="1:36" ht="45" customHeight="1" x14ac:dyDescent="0.25">
      <c r="A17" s="71" t="str">
        <f>'[1]Ввод данных'!A2</f>
        <v>№ п/п</v>
      </c>
      <c r="B17" s="71"/>
      <c r="C17" s="71" t="s">
        <v>33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2" t="s">
        <v>34</v>
      </c>
      <c r="Z17" s="72"/>
      <c r="AA17" s="72"/>
      <c r="AB17" s="72"/>
      <c r="AC17" s="72" t="s">
        <v>35</v>
      </c>
      <c r="AD17" s="72"/>
      <c r="AE17" s="72"/>
      <c r="AF17" s="72"/>
      <c r="AG17" s="72" t="s">
        <v>36</v>
      </c>
      <c r="AH17" s="72"/>
      <c r="AI17" s="72"/>
      <c r="AJ17" s="72"/>
    </row>
    <row r="18" spans="1:36" ht="45" customHeight="1" x14ac:dyDescent="0.25">
      <c r="A18" s="58">
        <v>1</v>
      </c>
      <c r="B18" s="58"/>
      <c r="C18" s="73" t="str">
        <f>"Оказание образовательных услуг сторонним лицом, не являющимся работником МАДИ, в качестве рецензента выпускных квалификационных работ - "&amp;'Исходные данные'!B10</f>
        <v>Оказание образовательных услуг сторонним лицом, не являющимся работником МАДИ, в качестве рецензента выпускных квалификационных работ - Амосов Алексей Германович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58">
        <v>118</v>
      </c>
      <c r="Z18" s="58"/>
      <c r="AA18" s="58"/>
      <c r="AB18" s="58"/>
      <c r="AC18" s="74">
        <f>'Расчёт стомости'!C6</f>
        <v>590</v>
      </c>
      <c r="AD18" s="74"/>
      <c r="AE18" s="74"/>
      <c r="AF18" s="74"/>
      <c r="AG18" s="74">
        <f>'Расчёт стомости'!M7</f>
        <v>75166</v>
      </c>
      <c r="AH18" s="74"/>
      <c r="AI18" s="74"/>
      <c r="AJ18" s="74"/>
    </row>
    <row r="19" spans="1:36" hidden="1" x14ac:dyDescent="0.25">
      <c r="A19" s="75">
        <f>'[1]Ввод данных'!A6</f>
        <v>0</v>
      </c>
      <c r="B19" s="75"/>
      <c r="C19" s="57">
        <f>'[1]Ввод данных'!B6</f>
        <v>0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75" t="str">
        <f>CONCATENATE('[1]Ввод данных'!F6," ",'[1]Ввод данных'!G6)</f>
        <v xml:space="preserve"> </v>
      </c>
      <c r="Z19" s="75"/>
      <c r="AA19" s="75"/>
      <c r="AB19" s="75"/>
      <c r="AC19" s="76">
        <f>'[1]Ввод данных'!I6</f>
        <v>0</v>
      </c>
      <c r="AD19" s="76"/>
      <c r="AE19" s="76"/>
      <c r="AF19" s="76"/>
      <c r="AG19" s="76">
        <f>'[1]Ввод данных'!J6</f>
        <v>0</v>
      </c>
      <c r="AH19" s="76"/>
      <c r="AI19" s="76"/>
      <c r="AJ19" s="76"/>
    </row>
    <row r="20" spans="1:36" hidden="1" x14ac:dyDescent="0.25">
      <c r="A20" s="75">
        <f>'[1]Ввод данных'!A7</f>
        <v>0</v>
      </c>
      <c r="B20" s="75"/>
      <c r="C20" s="57">
        <f>'[1]Ввод данных'!B7</f>
        <v>0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75" t="str">
        <f>CONCATENATE('[1]Ввод данных'!F7," ",'[1]Ввод данных'!G7)</f>
        <v xml:space="preserve"> </v>
      </c>
      <c r="Z20" s="75"/>
      <c r="AA20" s="75"/>
      <c r="AB20" s="75"/>
      <c r="AC20" s="76">
        <f>'[1]Ввод данных'!I7</f>
        <v>0</v>
      </c>
      <c r="AD20" s="76"/>
      <c r="AE20" s="76"/>
      <c r="AF20" s="76"/>
      <c r="AG20" s="76">
        <f>'[1]Ввод данных'!J7</f>
        <v>0</v>
      </c>
      <c r="AH20" s="76"/>
      <c r="AI20" s="76"/>
      <c r="AJ20" s="76"/>
    </row>
    <row r="21" spans="1:36" hidden="1" x14ac:dyDescent="0.25">
      <c r="A21" s="75">
        <f>'[1]Ввод данных'!A8</f>
        <v>0</v>
      </c>
      <c r="B21" s="75"/>
      <c r="C21" s="57">
        <f>'[1]Ввод данных'!B8</f>
        <v>0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75" t="str">
        <f>CONCATENATE('[1]Ввод данных'!F8," ",'[1]Ввод данных'!G8)</f>
        <v xml:space="preserve"> </v>
      </c>
      <c r="Z21" s="75"/>
      <c r="AA21" s="75"/>
      <c r="AB21" s="75"/>
      <c r="AC21" s="76">
        <f>'[1]Ввод данных'!I8</f>
        <v>0</v>
      </c>
      <c r="AD21" s="76"/>
      <c r="AE21" s="76"/>
      <c r="AF21" s="76"/>
      <c r="AG21" s="76">
        <f>'[1]Ввод данных'!J8</f>
        <v>0</v>
      </c>
      <c r="AH21" s="76"/>
      <c r="AI21" s="76"/>
      <c r="AJ21" s="76"/>
    </row>
    <row r="22" spans="1:36" hidden="1" x14ac:dyDescent="0.25">
      <c r="A22" s="75">
        <f>'[1]Ввод данных'!A9</f>
        <v>0</v>
      </c>
      <c r="B22" s="75"/>
      <c r="C22" s="57">
        <f>'[1]Ввод данных'!B9</f>
        <v>0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75" t="str">
        <f>CONCATENATE('[1]Ввод данных'!F9," ",'[1]Ввод данных'!G9)</f>
        <v xml:space="preserve"> </v>
      </c>
      <c r="Z22" s="75"/>
      <c r="AA22" s="75"/>
      <c r="AB22" s="75"/>
      <c r="AC22" s="76">
        <f>'[1]Ввод данных'!I9</f>
        <v>0</v>
      </c>
      <c r="AD22" s="76"/>
      <c r="AE22" s="76"/>
      <c r="AF22" s="76"/>
      <c r="AG22" s="76">
        <f>'[1]Ввод данных'!J9</f>
        <v>0</v>
      </c>
      <c r="AH22" s="76"/>
      <c r="AI22" s="76"/>
      <c r="AJ22" s="76"/>
    </row>
    <row r="23" spans="1:36" hidden="1" x14ac:dyDescent="0.25">
      <c r="A23" s="75">
        <f>'[1]Ввод данных'!A10</f>
        <v>0</v>
      </c>
      <c r="B23" s="75"/>
      <c r="C23" s="57">
        <f>'[1]Ввод данных'!B10</f>
        <v>0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75" t="str">
        <f>CONCATENATE('[1]Ввод данных'!F10," ",'[1]Ввод данных'!G10)</f>
        <v xml:space="preserve"> </v>
      </c>
      <c r="Z23" s="75"/>
      <c r="AA23" s="75"/>
      <c r="AB23" s="75"/>
      <c r="AC23" s="76">
        <f>'[1]Ввод данных'!I10</f>
        <v>0</v>
      </c>
      <c r="AD23" s="76"/>
      <c r="AE23" s="76"/>
      <c r="AF23" s="76"/>
      <c r="AG23" s="76">
        <f>'[1]Ввод данных'!J10</f>
        <v>0</v>
      </c>
      <c r="AH23" s="76"/>
      <c r="AI23" s="76"/>
      <c r="AJ23" s="76"/>
    </row>
    <row r="24" spans="1:36" hidden="1" x14ac:dyDescent="0.25">
      <c r="A24" s="75">
        <f>'[1]Ввод данных'!A11</f>
        <v>0</v>
      </c>
      <c r="B24" s="75"/>
      <c r="C24" s="57">
        <f>'[1]Ввод данных'!B11</f>
        <v>0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75" t="str">
        <f>CONCATENATE('[1]Ввод данных'!F11," ",'[1]Ввод данных'!G11)</f>
        <v xml:space="preserve"> </v>
      </c>
      <c r="Z24" s="75"/>
      <c r="AA24" s="75"/>
      <c r="AB24" s="75"/>
      <c r="AC24" s="76">
        <f>'[1]Ввод данных'!I11</f>
        <v>0</v>
      </c>
      <c r="AD24" s="76"/>
      <c r="AE24" s="76"/>
      <c r="AF24" s="76"/>
      <c r="AG24" s="76">
        <f>'[1]Ввод данных'!J11</f>
        <v>0</v>
      </c>
      <c r="AH24" s="76"/>
      <c r="AI24" s="76"/>
      <c r="AJ24" s="76"/>
    </row>
    <row r="25" spans="1:36" hidden="1" x14ac:dyDescent="0.25">
      <c r="A25" s="75">
        <f>'[1]Ввод данных'!A12</f>
        <v>0</v>
      </c>
      <c r="B25" s="75"/>
      <c r="C25" s="57">
        <f>'[1]Ввод данных'!B12</f>
        <v>0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75" t="str">
        <f>CONCATENATE('[1]Ввод данных'!F12," ",'[1]Ввод данных'!G12)</f>
        <v xml:space="preserve"> </v>
      </c>
      <c r="Z25" s="75"/>
      <c r="AA25" s="75"/>
      <c r="AB25" s="75"/>
      <c r="AC25" s="76">
        <f>'[1]Ввод данных'!I12</f>
        <v>0</v>
      </c>
      <c r="AD25" s="76"/>
      <c r="AE25" s="76"/>
      <c r="AF25" s="76"/>
      <c r="AG25" s="76">
        <f>'[1]Ввод данных'!J12</f>
        <v>0</v>
      </c>
      <c r="AH25" s="76"/>
      <c r="AI25" s="76"/>
      <c r="AJ25" s="76"/>
    </row>
    <row r="26" spans="1:36" hidden="1" x14ac:dyDescent="0.25">
      <c r="A26" s="75">
        <f>'[1]Ввод данных'!A13</f>
        <v>0</v>
      </c>
      <c r="B26" s="75"/>
      <c r="C26" s="57">
        <f>'[1]Ввод данных'!B13</f>
        <v>0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75" t="str">
        <f>CONCATENATE('[1]Ввод данных'!F13," ",'[1]Ввод данных'!G13)</f>
        <v xml:space="preserve"> </v>
      </c>
      <c r="Z26" s="75"/>
      <c r="AA26" s="75"/>
      <c r="AB26" s="75"/>
      <c r="AC26" s="76">
        <f>'[1]Ввод данных'!I13</f>
        <v>0</v>
      </c>
      <c r="AD26" s="76"/>
      <c r="AE26" s="76"/>
      <c r="AF26" s="76"/>
      <c r="AG26" s="76">
        <f>'[1]Ввод данных'!J13</f>
        <v>0</v>
      </c>
      <c r="AH26" s="76"/>
      <c r="AI26" s="76"/>
      <c r="AJ26" s="76"/>
    </row>
    <row r="27" spans="1:36" hidden="1" x14ac:dyDescent="0.25">
      <c r="A27" s="75">
        <f>'[1]Ввод данных'!A14</f>
        <v>0</v>
      </c>
      <c r="B27" s="75"/>
      <c r="C27" s="57">
        <f>'[1]Ввод данных'!B14</f>
        <v>0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75" t="str">
        <f>CONCATENATE('[1]Ввод данных'!F14," ",'[1]Ввод данных'!G14)</f>
        <v xml:space="preserve"> </v>
      </c>
      <c r="Z27" s="75"/>
      <c r="AA27" s="75"/>
      <c r="AB27" s="75"/>
      <c r="AC27" s="76">
        <f>'[1]Ввод данных'!I14</f>
        <v>0</v>
      </c>
      <c r="AD27" s="76"/>
      <c r="AE27" s="76"/>
      <c r="AF27" s="76"/>
      <c r="AG27" s="76">
        <f>'[1]Ввод данных'!J14</f>
        <v>0</v>
      </c>
      <c r="AH27" s="76"/>
      <c r="AI27" s="76"/>
      <c r="AJ27" s="76"/>
    </row>
    <row r="28" spans="1:36" hidden="1" x14ac:dyDescent="0.25">
      <c r="A28" s="75">
        <f>'[1]Ввод данных'!A15</f>
        <v>0</v>
      </c>
      <c r="B28" s="75"/>
      <c r="C28" s="57">
        <f>'[1]Ввод данных'!B15</f>
        <v>0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75" t="str">
        <f>CONCATENATE('[1]Ввод данных'!F15," ",'[1]Ввод данных'!G15)</f>
        <v xml:space="preserve"> </v>
      </c>
      <c r="Z28" s="75"/>
      <c r="AA28" s="75"/>
      <c r="AB28" s="75"/>
      <c r="AC28" s="76">
        <f>'[1]Ввод данных'!I15</f>
        <v>0</v>
      </c>
      <c r="AD28" s="76"/>
      <c r="AE28" s="76"/>
      <c r="AF28" s="76"/>
      <c r="AG28" s="76">
        <f>'[1]Ввод данных'!J15</f>
        <v>0</v>
      </c>
      <c r="AH28" s="76"/>
      <c r="AI28" s="76"/>
      <c r="AJ28" s="76"/>
    </row>
    <row r="29" spans="1:36" hidden="1" x14ac:dyDescent="0.25">
      <c r="A29" s="75">
        <f>'[1]Ввод данных'!A16</f>
        <v>0</v>
      </c>
      <c r="B29" s="75"/>
      <c r="C29" s="57">
        <f>'[1]Ввод данных'!B16</f>
        <v>0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75" t="str">
        <f>CONCATENATE('[1]Ввод данных'!F16," ",'[1]Ввод данных'!G16)</f>
        <v xml:space="preserve"> </v>
      </c>
      <c r="Z29" s="75"/>
      <c r="AA29" s="75"/>
      <c r="AB29" s="75"/>
      <c r="AC29" s="76">
        <f>'[1]Ввод данных'!I16</f>
        <v>0</v>
      </c>
      <c r="AD29" s="76"/>
      <c r="AE29" s="76"/>
      <c r="AF29" s="76"/>
      <c r="AG29" s="76">
        <f>'[1]Ввод данных'!J16</f>
        <v>0</v>
      </c>
      <c r="AH29" s="76"/>
      <c r="AI29" s="76"/>
      <c r="AJ29" s="76"/>
    </row>
    <row r="30" spans="1:36" hidden="1" x14ac:dyDescent="0.25">
      <c r="A30" s="75">
        <f>'[1]Ввод данных'!A17</f>
        <v>0</v>
      </c>
      <c r="B30" s="75"/>
      <c r="C30" s="57">
        <f>'[1]Ввод данных'!B17</f>
        <v>0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75" t="str">
        <f>CONCATENATE('[1]Ввод данных'!F17," ",'[1]Ввод данных'!G17)</f>
        <v xml:space="preserve"> </v>
      </c>
      <c r="Z30" s="75"/>
      <c r="AA30" s="75"/>
      <c r="AB30" s="75"/>
      <c r="AC30" s="76">
        <f>'[1]Ввод данных'!I17</f>
        <v>0</v>
      </c>
      <c r="AD30" s="76"/>
      <c r="AE30" s="76"/>
      <c r="AF30" s="76"/>
      <c r="AG30" s="76">
        <f>'[1]Ввод данных'!J17</f>
        <v>0</v>
      </c>
      <c r="AH30" s="76"/>
      <c r="AI30" s="76"/>
      <c r="AJ30" s="76"/>
    </row>
    <row r="31" spans="1:36" hidden="1" x14ac:dyDescent="0.25">
      <c r="A31" s="75">
        <f>'[1]Ввод данных'!A18</f>
        <v>0</v>
      </c>
      <c r="B31" s="75"/>
      <c r="C31" s="57">
        <f>'[1]Ввод данных'!B18</f>
        <v>0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75" t="str">
        <f>CONCATENATE('[1]Ввод данных'!F18," ",'[1]Ввод данных'!G18)</f>
        <v xml:space="preserve"> </v>
      </c>
      <c r="Z31" s="75"/>
      <c r="AA31" s="75"/>
      <c r="AB31" s="75"/>
      <c r="AC31" s="76">
        <f>'[1]Ввод данных'!I18</f>
        <v>0</v>
      </c>
      <c r="AD31" s="76"/>
      <c r="AE31" s="76"/>
      <c r="AF31" s="76"/>
      <c r="AG31" s="76">
        <f>'[1]Ввод данных'!J18</f>
        <v>0</v>
      </c>
      <c r="AH31" s="76"/>
      <c r="AI31" s="76"/>
      <c r="AJ31" s="76"/>
    </row>
    <row r="32" spans="1:36" hidden="1" x14ac:dyDescent="0.25">
      <c r="A32" s="75">
        <f>'[1]Ввод данных'!A19</f>
        <v>0</v>
      </c>
      <c r="B32" s="75"/>
      <c r="C32" s="57">
        <f>'[1]Ввод данных'!B19</f>
        <v>0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75" t="str">
        <f>CONCATENATE('[1]Ввод данных'!F19," ",'[1]Ввод данных'!G19)</f>
        <v xml:space="preserve"> </v>
      </c>
      <c r="Z32" s="75"/>
      <c r="AA32" s="75"/>
      <c r="AB32" s="75"/>
      <c r="AC32" s="76">
        <f>'[1]Ввод данных'!I19</f>
        <v>0</v>
      </c>
      <c r="AD32" s="76"/>
      <c r="AE32" s="76"/>
      <c r="AF32" s="76"/>
      <c r="AG32" s="76">
        <f>'[1]Ввод данных'!J19</f>
        <v>0</v>
      </c>
      <c r="AH32" s="76"/>
      <c r="AI32" s="76"/>
      <c r="AJ32" s="76"/>
    </row>
    <row r="33" spans="1:36" hidden="1" x14ac:dyDescent="0.25">
      <c r="A33" s="75">
        <f>'[1]Ввод данных'!A20</f>
        <v>0</v>
      </c>
      <c r="B33" s="75"/>
      <c r="C33" s="57">
        <f>'[1]Ввод данных'!B20</f>
        <v>0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75" t="str">
        <f>CONCATENATE('[1]Ввод данных'!F20," ",'[1]Ввод данных'!G20)</f>
        <v xml:space="preserve"> </v>
      </c>
      <c r="Z33" s="75"/>
      <c r="AA33" s="75"/>
      <c r="AB33" s="75"/>
      <c r="AC33" s="76">
        <f>'[1]Ввод данных'!I20</f>
        <v>0</v>
      </c>
      <c r="AD33" s="76"/>
      <c r="AE33" s="76"/>
      <c r="AF33" s="76"/>
      <c r="AG33" s="76">
        <f>'[1]Ввод данных'!J20</f>
        <v>0</v>
      </c>
      <c r="AH33" s="76"/>
      <c r="AI33" s="76"/>
      <c r="AJ33" s="76"/>
    </row>
    <row r="34" spans="1:36" hidden="1" x14ac:dyDescent="0.25">
      <c r="A34" s="75">
        <f>'[1]Ввод данных'!A21</f>
        <v>0</v>
      </c>
      <c r="B34" s="75"/>
      <c r="C34" s="57">
        <f>'[1]Ввод данных'!B21</f>
        <v>0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75" t="str">
        <f>CONCATENATE('[1]Ввод данных'!F21," ",'[1]Ввод данных'!G21)</f>
        <v xml:space="preserve"> </v>
      </c>
      <c r="Z34" s="75"/>
      <c r="AA34" s="75"/>
      <c r="AB34" s="75"/>
      <c r="AC34" s="76">
        <f>'[1]Ввод данных'!I21</f>
        <v>0</v>
      </c>
      <c r="AD34" s="76"/>
      <c r="AE34" s="76"/>
      <c r="AF34" s="76"/>
      <c r="AG34" s="76">
        <f>'[1]Ввод данных'!J21</f>
        <v>0</v>
      </c>
      <c r="AH34" s="76"/>
      <c r="AI34" s="76"/>
      <c r="AJ34" s="76"/>
    </row>
    <row r="35" spans="1:36" hidden="1" x14ac:dyDescent="0.25">
      <c r="A35" s="75">
        <f>'[1]Ввод данных'!A22</f>
        <v>0</v>
      </c>
      <c r="B35" s="75"/>
      <c r="C35" s="57">
        <f>'[1]Ввод данных'!B22</f>
        <v>0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75" t="str">
        <f>CONCATENATE('[1]Ввод данных'!F22," ",'[1]Ввод данных'!G22)</f>
        <v xml:space="preserve"> </v>
      </c>
      <c r="Z35" s="75"/>
      <c r="AA35" s="75"/>
      <c r="AB35" s="75"/>
      <c r="AC35" s="76">
        <f>'[1]Ввод данных'!I22</f>
        <v>0</v>
      </c>
      <c r="AD35" s="76"/>
      <c r="AE35" s="76"/>
      <c r="AF35" s="76"/>
      <c r="AG35" s="76">
        <f>'[1]Ввод данных'!J22</f>
        <v>0</v>
      </c>
      <c r="AH35" s="76"/>
      <c r="AI35" s="76"/>
      <c r="AJ35" s="76"/>
    </row>
    <row r="36" spans="1:36" hidden="1" x14ac:dyDescent="0.25">
      <c r="A36" s="75">
        <f>'[1]Ввод данных'!A23</f>
        <v>0</v>
      </c>
      <c r="B36" s="75"/>
      <c r="C36" s="57">
        <f>'[1]Ввод данных'!B23</f>
        <v>0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75" t="str">
        <f>CONCATENATE('[1]Ввод данных'!F23," ",'[1]Ввод данных'!G23)</f>
        <v xml:space="preserve"> </v>
      </c>
      <c r="Z36" s="75"/>
      <c r="AA36" s="75"/>
      <c r="AB36" s="75"/>
      <c r="AC36" s="76">
        <f>'[1]Ввод данных'!I23</f>
        <v>0</v>
      </c>
      <c r="AD36" s="76"/>
      <c r="AE36" s="76"/>
      <c r="AF36" s="76"/>
      <c r="AG36" s="76">
        <f>'[1]Ввод данных'!J23</f>
        <v>0</v>
      </c>
      <c r="AH36" s="76"/>
      <c r="AI36" s="76"/>
      <c r="AJ36" s="76"/>
    </row>
    <row r="37" spans="1:36" hidden="1" x14ac:dyDescent="0.25">
      <c r="A37" s="75">
        <f>'[1]Ввод данных'!A24</f>
        <v>0</v>
      </c>
      <c r="B37" s="75"/>
      <c r="C37" s="57">
        <f>'[1]Ввод данных'!B24</f>
        <v>0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75" t="str">
        <f>CONCATENATE('[1]Ввод данных'!F24," ",'[1]Ввод данных'!G24)</f>
        <v xml:space="preserve"> </v>
      </c>
      <c r="Z37" s="75"/>
      <c r="AA37" s="75"/>
      <c r="AB37" s="75"/>
      <c r="AC37" s="76">
        <f>'[1]Ввод данных'!I24</f>
        <v>0</v>
      </c>
      <c r="AD37" s="76"/>
      <c r="AE37" s="76"/>
      <c r="AF37" s="76"/>
      <c r="AG37" s="76">
        <f>'[1]Ввод данных'!J24</f>
        <v>0</v>
      </c>
      <c r="AH37" s="76"/>
      <c r="AI37" s="76"/>
      <c r="AJ37" s="76"/>
    </row>
    <row r="38" spans="1:36" hidden="1" x14ac:dyDescent="0.25">
      <c r="A38" s="75">
        <f>'[1]Ввод данных'!A25</f>
        <v>0</v>
      </c>
      <c r="B38" s="75"/>
      <c r="C38" s="57">
        <f>'[1]Ввод данных'!B25</f>
        <v>0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75" t="str">
        <f>CONCATENATE('[1]Ввод данных'!F25," ",'[1]Ввод данных'!G25)</f>
        <v xml:space="preserve"> </v>
      </c>
      <c r="Z38" s="75"/>
      <c r="AA38" s="75"/>
      <c r="AB38" s="75"/>
      <c r="AC38" s="76">
        <f>'[1]Ввод данных'!I25</f>
        <v>0</v>
      </c>
      <c r="AD38" s="76"/>
      <c r="AE38" s="76"/>
      <c r="AF38" s="76"/>
      <c r="AG38" s="76">
        <f>'[1]Ввод данных'!J25</f>
        <v>0</v>
      </c>
      <c r="AH38" s="76"/>
      <c r="AI38" s="76"/>
      <c r="AJ38" s="76"/>
    </row>
    <row r="39" spans="1:36" hidden="1" x14ac:dyDescent="0.25">
      <c r="A39" s="75">
        <f>'[1]Ввод данных'!A26</f>
        <v>0</v>
      </c>
      <c r="B39" s="75"/>
      <c r="C39" s="57">
        <f>'[1]Ввод данных'!B26</f>
        <v>0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75" t="str">
        <f>CONCATENATE('[1]Ввод данных'!F26," ",'[1]Ввод данных'!G26)</f>
        <v xml:space="preserve"> </v>
      </c>
      <c r="Z39" s="75"/>
      <c r="AA39" s="75"/>
      <c r="AB39" s="75"/>
      <c r="AC39" s="76">
        <f>'[1]Ввод данных'!I26</f>
        <v>0</v>
      </c>
      <c r="AD39" s="76"/>
      <c r="AE39" s="76"/>
      <c r="AF39" s="76"/>
      <c r="AG39" s="76">
        <f>'[1]Ввод данных'!J26</f>
        <v>0</v>
      </c>
      <c r="AH39" s="76"/>
      <c r="AI39" s="76"/>
      <c r="AJ39" s="76"/>
    </row>
    <row r="40" spans="1:36" hidden="1" x14ac:dyDescent="0.25">
      <c r="A40" s="75">
        <f>'[1]Ввод данных'!A27</f>
        <v>0</v>
      </c>
      <c r="B40" s="75"/>
      <c r="C40" s="57">
        <f>'[1]Ввод данных'!B27</f>
        <v>0</v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75" t="str">
        <f>CONCATENATE('[1]Ввод данных'!F27," ",'[1]Ввод данных'!G27)</f>
        <v xml:space="preserve"> </v>
      </c>
      <c r="Z40" s="75"/>
      <c r="AA40" s="75"/>
      <c r="AB40" s="75"/>
      <c r="AC40" s="76">
        <f>'[1]Ввод данных'!I27</f>
        <v>0</v>
      </c>
      <c r="AD40" s="76"/>
      <c r="AE40" s="76"/>
      <c r="AF40" s="76"/>
      <c r="AG40" s="76">
        <f>'[1]Ввод данных'!J27</f>
        <v>0</v>
      </c>
      <c r="AH40" s="76"/>
      <c r="AI40" s="76"/>
      <c r="AJ40" s="76"/>
    </row>
    <row r="41" spans="1:36" hidden="1" x14ac:dyDescent="0.25">
      <c r="A41" s="75">
        <f>'[1]Ввод данных'!A28</f>
        <v>0</v>
      </c>
      <c r="B41" s="75"/>
      <c r="C41" s="57">
        <f>'[1]Ввод данных'!B28</f>
        <v>0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75" t="str">
        <f>CONCATENATE('[1]Ввод данных'!F28," ",'[1]Ввод данных'!G28)</f>
        <v xml:space="preserve"> </v>
      </c>
      <c r="Z41" s="75"/>
      <c r="AA41" s="75"/>
      <c r="AB41" s="75"/>
      <c r="AC41" s="76">
        <f>'[1]Ввод данных'!I28</f>
        <v>0</v>
      </c>
      <c r="AD41" s="76"/>
      <c r="AE41" s="76"/>
      <c r="AF41" s="76"/>
      <c r="AG41" s="76">
        <f>'[1]Ввод данных'!J28</f>
        <v>0</v>
      </c>
      <c r="AH41" s="76"/>
      <c r="AI41" s="76"/>
      <c r="AJ41" s="76"/>
    </row>
    <row r="42" spans="1:36" hidden="1" x14ac:dyDescent="0.25">
      <c r="A42" s="75">
        <f>'[1]Ввод данных'!A29</f>
        <v>0</v>
      </c>
      <c r="B42" s="75"/>
      <c r="C42" s="57">
        <f>'[1]Ввод данных'!B29</f>
        <v>0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75" t="str">
        <f>CONCATENATE('[1]Ввод данных'!F29," ",'[1]Ввод данных'!G29)</f>
        <v xml:space="preserve"> </v>
      </c>
      <c r="Z42" s="75"/>
      <c r="AA42" s="75"/>
      <c r="AB42" s="75"/>
      <c r="AC42" s="76">
        <f>'[1]Ввод данных'!I29</f>
        <v>0</v>
      </c>
      <c r="AD42" s="76"/>
      <c r="AE42" s="76"/>
      <c r="AF42" s="76"/>
      <c r="AG42" s="76">
        <f>'[1]Ввод данных'!J29</f>
        <v>0</v>
      </c>
      <c r="AH42" s="76"/>
      <c r="AI42" s="76"/>
      <c r="AJ42" s="76"/>
    </row>
    <row r="43" spans="1:36" hidden="1" x14ac:dyDescent="0.25">
      <c r="A43" s="75">
        <f>'[1]Ввод данных'!A30</f>
        <v>0</v>
      </c>
      <c r="B43" s="75"/>
      <c r="C43" s="57">
        <f>'[1]Ввод данных'!B30</f>
        <v>0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75" t="str">
        <f>CONCATENATE('[1]Ввод данных'!F30," ",'[1]Ввод данных'!G30)</f>
        <v xml:space="preserve"> </v>
      </c>
      <c r="Z43" s="75"/>
      <c r="AA43" s="75"/>
      <c r="AB43" s="75"/>
      <c r="AC43" s="76">
        <f>'[1]Ввод данных'!I30</f>
        <v>0</v>
      </c>
      <c r="AD43" s="76"/>
      <c r="AE43" s="76"/>
      <c r="AF43" s="76"/>
      <c r="AG43" s="76">
        <f>'[1]Ввод данных'!J30</f>
        <v>0</v>
      </c>
      <c r="AH43" s="76"/>
      <c r="AI43" s="76"/>
      <c r="AJ43" s="76"/>
    </row>
    <row r="44" spans="1:36" hidden="1" x14ac:dyDescent="0.25">
      <c r="A44" s="75">
        <f>'[1]Ввод данных'!A31</f>
        <v>0</v>
      </c>
      <c r="B44" s="75"/>
      <c r="C44" s="57">
        <f>'[1]Ввод данных'!B31</f>
        <v>0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75" t="str">
        <f>CONCATENATE('[1]Ввод данных'!F31," ",'[1]Ввод данных'!G31)</f>
        <v xml:space="preserve"> </v>
      </c>
      <c r="Z44" s="75"/>
      <c r="AA44" s="75"/>
      <c r="AB44" s="75"/>
      <c r="AC44" s="76">
        <f>'[1]Ввод данных'!I31</f>
        <v>0</v>
      </c>
      <c r="AD44" s="76"/>
      <c r="AE44" s="76"/>
      <c r="AF44" s="76"/>
      <c r="AG44" s="76">
        <f>'[1]Ввод данных'!J31</f>
        <v>0</v>
      </c>
      <c r="AH44" s="76"/>
      <c r="AI44" s="76"/>
      <c r="AJ44" s="76"/>
    </row>
    <row r="45" spans="1:36" hidden="1" x14ac:dyDescent="0.25">
      <c r="A45" s="75">
        <f>'[1]Ввод данных'!A32</f>
        <v>0</v>
      </c>
      <c r="B45" s="75"/>
      <c r="C45" s="57">
        <f>'[1]Ввод данных'!B32</f>
        <v>0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75" t="str">
        <f>CONCATENATE('[1]Ввод данных'!F32," ",'[1]Ввод данных'!G32)</f>
        <v xml:space="preserve"> </v>
      </c>
      <c r="Z45" s="75"/>
      <c r="AA45" s="75"/>
      <c r="AB45" s="75"/>
      <c r="AC45" s="76">
        <f>'[1]Ввод данных'!I32</f>
        <v>0</v>
      </c>
      <c r="AD45" s="76"/>
      <c r="AE45" s="76"/>
      <c r="AF45" s="76"/>
      <c r="AG45" s="76">
        <f>'[1]Ввод данных'!J32</f>
        <v>0</v>
      </c>
      <c r="AH45" s="76"/>
      <c r="AI45" s="76"/>
      <c r="AJ45" s="76"/>
    </row>
    <row r="46" spans="1:36" hidden="1" x14ac:dyDescent="0.25">
      <c r="A46" s="75">
        <f>'[1]Ввод данных'!A33</f>
        <v>0</v>
      </c>
      <c r="B46" s="75"/>
      <c r="C46" s="57">
        <f>'[1]Ввод данных'!B33</f>
        <v>0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75" t="str">
        <f>CONCATENATE('[1]Ввод данных'!F33," ",'[1]Ввод данных'!G33)</f>
        <v xml:space="preserve"> </v>
      </c>
      <c r="Z46" s="75"/>
      <c r="AA46" s="75"/>
      <c r="AB46" s="75"/>
      <c r="AC46" s="76">
        <f>'[1]Ввод данных'!I33</f>
        <v>0</v>
      </c>
      <c r="AD46" s="76"/>
      <c r="AE46" s="76"/>
      <c r="AF46" s="76"/>
      <c r="AG46" s="76">
        <f>'[1]Ввод данных'!J33</f>
        <v>0</v>
      </c>
      <c r="AH46" s="76"/>
      <c r="AI46" s="76"/>
      <c r="AJ46" s="76"/>
    </row>
    <row r="47" spans="1:36" hidden="1" x14ac:dyDescent="0.25">
      <c r="A47" s="75">
        <f>'[1]Ввод данных'!A34</f>
        <v>0</v>
      </c>
      <c r="B47" s="75"/>
      <c r="C47" s="57">
        <f>'[1]Ввод данных'!B34</f>
        <v>0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75" t="str">
        <f>CONCATENATE('[1]Ввод данных'!F34," ",'[1]Ввод данных'!G34)</f>
        <v xml:space="preserve"> </v>
      </c>
      <c r="Z47" s="75"/>
      <c r="AA47" s="75"/>
      <c r="AB47" s="75"/>
      <c r="AC47" s="76">
        <f>'[1]Ввод данных'!I34</f>
        <v>0</v>
      </c>
      <c r="AD47" s="76"/>
      <c r="AE47" s="76"/>
      <c r="AF47" s="76"/>
      <c r="AG47" s="76">
        <f>'[1]Ввод данных'!J34</f>
        <v>0</v>
      </c>
      <c r="AH47" s="76"/>
      <c r="AI47" s="76"/>
      <c r="AJ47" s="76"/>
    </row>
    <row r="48" spans="1:36" hidden="1" x14ac:dyDescent="0.25">
      <c r="A48" s="75">
        <f>'[1]Ввод данных'!A35</f>
        <v>0</v>
      </c>
      <c r="B48" s="75"/>
      <c r="C48" s="57">
        <f>'[1]Ввод данных'!B35</f>
        <v>0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75" t="str">
        <f>CONCATENATE('[1]Ввод данных'!F35," ",'[1]Ввод данных'!G35)</f>
        <v xml:space="preserve"> </v>
      </c>
      <c r="Z48" s="75"/>
      <c r="AA48" s="75"/>
      <c r="AB48" s="75"/>
      <c r="AC48" s="76">
        <f>'[1]Ввод данных'!I35</f>
        <v>0</v>
      </c>
      <c r="AD48" s="76"/>
      <c r="AE48" s="76"/>
      <c r="AF48" s="76"/>
      <c r="AG48" s="76">
        <f>'[1]Ввод данных'!J35</f>
        <v>0</v>
      </c>
      <c r="AH48" s="76"/>
      <c r="AI48" s="76"/>
      <c r="AJ48" s="76"/>
    </row>
    <row r="49" spans="1:36" hidden="1" x14ac:dyDescent="0.25">
      <c r="A49" s="75">
        <f>'[1]Ввод данных'!A36</f>
        <v>0</v>
      </c>
      <c r="B49" s="75"/>
      <c r="C49" s="57">
        <f>'[1]Ввод данных'!B36</f>
        <v>0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75" t="str">
        <f>CONCATENATE('[1]Ввод данных'!F36," ",'[1]Ввод данных'!G36)</f>
        <v xml:space="preserve"> </v>
      </c>
      <c r="Z49" s="75"/>
      <c r="AA49" s="75"/>
      <c r="AB49" s="75"/>
      <c r="AC49" s="76">
        <f>'[1]Ввод данных'!I36</f>
        <v>0</v>
      </c>
      <c r="AD49" s="76"/>
      <c r="AE49" s="76"/>
      <c r="AF49" s="76"/>
      <c r="AG49" s="76">
        <f>'[1]Ввод данных'!J36</f>
        <v>0</v>
      </c>
      <c r="AH49" s="76"/>
      <c r="AI49" s="76"/>
      <c r="AJ49" s="76"/>
    </row>
    <row r="50" spans="1:36" hidden="1" x14ac:dyDescent="0.25">
      <c r="A50" s="75">
        <f>'[1]Ввод данных'!A37</f>
        <v>0</v>
      </c>
      <c r="B50" s="75"/>
      <c r="C50" s="57">
        <f>'[1]Ввод данных'!B37</f>
        <v>0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75" t="str">
        <f>CONCATENATE('[1]Ввод данных'!F37," ",'[1]Ввод данных'!G37)</f>
        <v xml:space="preserve"> </v>
      </c>
      <c r="Z50" s="75"/>
      <c r="AA50" s="75"/>
      <c r="AB50" s="75"/>
      <c r="AC50" s="76">
        <f>'[1]Ввод данных'!I37</f>
        <v>0</v>
      </c>
      <c r="AD50" s="76"/>
      <c r="AE50" s="76"/>
      <c r="AF50" s="76"/>
      <c r="AG50" s="76">
        <f>'[1]Ввод данных'!J37</f>
        <v>0</v>
      </c>
      <c r="AH50" s="76"/>
      <c r="AI50" s="76"/>
      <c r="AJ50" s="76"/>
    </row>
    <row r="51" spans="1:36" hidden="1" x14ac:dyDescent="0.25">
      <c r="A51" s="75">
        <f>'[1]Ввод данных'!A38</f>
        <v>0</v>
      </c>
      <c r="B51" s="75"/>
      <c r="C51" s="57">
        <f>'[1]Ввод данных'!B38</f>
        <v>0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75" t="str">
        <f>CONCATENATE('[1]Ввод данных'!F38," ",'[1]Ввод данных'!G38)</f>
        <v xml:space="preserve"> </v>
      </c>
      <c r="Z51" s="75"/>
      <c r="AA51" s="75"/>
      <c r="AB51" s="75"/>
      <c r="AC51" s="76">
        <f>'[1]Ввод данных'!I38</f>
        <v>0</v>
      </c>
      <c r="AD51" s="76"/>
      <c r="AE51" s="76"/>
      <c r="AF51" s="76"/>
      <c r="AG51" s="76">
        <f>'[1]Ввод данных'!J38</f>
        <v>0</v>
      </c>
      <c r="AH51" s="76"/>
      <c r="AI51" s="76"/>
      <c r="AJ51" s="76"/>
    </row>
    <row r="52" spans="1:36" hidden="1" x14ac:dyDescent="0.25">
      <c r="A52" s="75">
        <f>'[1]Ввод данных'!A39</f>
        <v>0</v>
      </c>
      <c r="B52" s="75"/>
      <c r="C52" s="57">
        <f>'[1]Ввод данных'!B39</f>
        <v>0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75" t="str">
        <f>CONCATENATE('[1]Ввод данных'!F39," ",'[1]Ввод данных'!G39)</f>
        <v xml:space="preserve"> </v>
      </c>
      <c r="Z52" s="75"/>
      <c r="AA52" s="75"/>
      <c r="AB52" s="75"/>
      <c r="AC52" s="76">
        <f>'[1]Ввод данных'!I39</f>
        <v>0</v>
      </c>
      <c r="AD52" s="76"/>
      <c r="AE52" s="76"/>
      <c r="AF52" s="76"/>
      <c r="AG52" s="76">
        <f>'[1]Ввод данных'!J39</f>
        <v>0</v>
      </c>
      <c r="AH52" s="76"/>
      <c r="AI52" s="76"/>
      <c r="AJ52" s="76"/>
    </row>
    <row r="53" spans="1:36" hidden="1" x14ac:dyDescent="0.25">
      <c r="A53" s="75">
        <f>'[1]Ввод данных'!A40</f>
        <v>0</v>
      </c>
      <c r="B53" s="75"/>
      <c r="C53" s="57">
        <f>'[1]Ввод данных'!B40</f>
        <v>0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75" t="str">
        <f>CONCATENATE('[1]Ввод данных'!F40," ",'[1]Ввод данных'!G40)</f>
        <v xml:space="preserve"> </v>
      </c>
      <c r="Z53" s="75"/>
      <c r="AA53" s="75"/>
      <c r="AB53" s="75"/>
      <c r="AC53" s="76">
        <f>'[1]Ввод данных'!I40</f>
        <v>0</v>
      </c>
      <c r="AD53" s="76"/>
      <c r="AE53" s="76"/>
      <c r="AF53" s="76"/>
      <c r="AG53" s="76">
        <f>'[1]Ввод данных'!J40</f>
        <v>0</v>
      </c>
      <c r="AH53" s="76"/>
      <c r="AI53" s="76"/>
      <c r="AJ53" s="76"/>
    </row>
    <row r="54" spans="1:36" hidden="1" x14ac:dyDescent="0.25">
      <c r="A54" s="75">
        <f>'[1]Ввод данных'!A41</f>
        <v>0</v>
      </c>
      <c r="B54" s="75"/>
      <c r="C54" s="57">
        <f>'[1]Ввод данных'!B41</f>
        <v>0</v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75" t="str">
        <f>CONCATENATE('[1]Ввод данных'!F41," ",'[1]Ввод данных'!G41)</f>
        <v xml:space="preserve"> </v>
      </c>
      <c r="Z54" s="75"/>
      <c r="AA54" s="75"/>
      <c r="AB54" s="75"/>
      <c r="AC54" s="76">
        <f>'[1]Ввод данных'!I41</f>
        <v>0</v>
      </c>
      <c r="AD54" s="76"/>
      <c r="AE54" s="76"/>
      <c r="AF54" s="76"/>
      <c r="AG54" s="76">
        <f>'[1]Ввод данных'!J41</f>
        <v>0</v>
      </c>
      <c r="AH54" s="76"/>
      <c r="AI54" s="76"/>
      <c r="AJ54" s="76"/>
    </row>
    <row r="55" spans="1:36" hidden="1" x14ac:dyDescent="0.25">
      <c r="A55" s="75">
        <f>'[1]Ввод данных'!A42</f>
        <v>0</v>
      </c>
      <c r="B55" s="75"/>
      <c r="C55" s="57">
        <f>'[1]Ввод данных'!B42</f>
        <v>0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75" t="str">
        <f>CONCATENATE('[1]Ввод данных'!F42," ",'[1]Ввод данных'!G42)</f>
        <v xml:space="preserve"> </v>
      </c>
      <c r="Z55" s="75"/>
      <c r="AA55" s="75"/>
      <c r="AB55" s="75"/>
      <c r="AC55" s="76">
        <f>'[1]Ввод данных'!I42</f>
        <v>0</v>
      </c>
      <c r="AD55" s="76"/>
      <c r="AE55" s="76"/>
      <c r="AF55" s="76"/>
      <c r="AG55" s="76">
        <f>'[1]Ввод данных'!J42</f>
        <v>0</v>
      </c>
      <c r="AH55" s="76"/>
      <c r="AI55" s="76"/>
      <c r="AJ55" s="76"/>
    </row>
    <row r="56" spans="1:36" hidden="1" x14ac:dyDescent="0.25">
      <c r="A56" s="75">
        <f>'[1]Ввод данных'!A43</f>
        <v>0</v>
      </c>
      <c r="B56" s="75"/>
      <c r="C56" s="57">
        <f>'[1]Ввод данных'!B43</f>
        <v>0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75" t="str">
        <f>CONCATENATE('[1]Ввод данных'!F43," ",'[1]Ввод данных'!G43)</f>
        <v xml:space="preserve"> </v>
      </c>
      <c r="Z56" s="75"/>
      <c r="AA56" s="75"/>
      <c r="AB56" s="75"/>
      <c r="AC56" s="76">
        <f>'[1]Ввод данных'!I43</f>
        <v>0</v>
      </c>
      <c r="AD56" s="76"/>
      <c r="AE56" s="76"/>
      <c r="AF56" s="76"/>
      <c r="AG56" s="76">
        <f>'[1]Ввод данных'!J43</f>
        <v>0</v>
      </c>
      <c r="AH56" s="76"/>
      <c r="AI56" s="76"/>
      <c r="AJ56" s="76"/>
    </row>
    <row r="57" spans="1:36" hidden="1" x14ac:dyDescent="0.25">
      <c r="A57" s="75">
        <f>'[1]Ввод данных'!A44</f>
        <v>0</v>
      </c>
      <c r="B57" s="75"/>
      <c r="C57" s="57">
        <f>'[1]Ввод данных'!B44</f>
        <v>0</v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75" t="str">
        <f>CONCATENATE('[1]Ввод данных'!F44," ",'[1]Ввод данных'!G44)</f>
        <v xml:space="preserve"> </v>
      </c>
      <c r="Z57" s="75"/>
      <c r="AA57" s="75"/>
      <c r="AB57" s="75"/>
      <c r="AC57" s="76">
        <f>'[1]Ввод данных'!I44</f>
        <v>0</v>
      </c>
      <c r="AD57" s="76"/>
      <c r="AE57" s="76"/>
      <c r="AF57" s="76"/>
      <c r="AG57" s="76">
        <f>'[1]Ввод данных'!J44</f>
        <v>0</v>
      </c>
      <c r="AH57" s="76"/>
      <c r="AI57" s="76"/>
      <c r="AJ57" s="76"/>
    </row>
    <row r="58" spans="1:36" hidden="1" x14ac:dyDescent="0.25">
      <c r="A58" s="75">
        <f>'[1]Ввод данных'!A45</f>
        <v>0</v>
      </c>
      <c r="B58" s="75"/>
      <c r="C58" s="57">
        <f>'[1]Ввод данных'!B45</f>
        <v>0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75" t="str">
        <f>CONCATENATE('[1]Ввод данных'!F45," ",'[1]Ввод данных'!G45)</f>
        <v xml:space="preserve"> </v>
      </c>
      <c r="Z58" s="75"/>
      <c r="AA58" s="75"/>
      <c r="AB58" s="75"/>
      <c r="AC58" s="76">
        <f>'[1]Ввод данных'!I45</f>
        <v>0</v>
      </c>
      <c r="AD58" s="76"/>
      <c r="AE58" s="76"/>
      <c r="AF58" s="76"/>
      <c r="AG58" s="76">
        <f>'[1]Ввод данных'!J45</f>
        <v>0</v>
      </c>
      <c r="AH58" s="76"/>
      <c r="AI58" s="76"/>
      <c r="AJ58" s="76"/>
    </row>
    <row r="59" spans="1:36" hidden="1" x14ac:dyDescent="0.25">
      <c r="A59" s="75">
        <f>'[1]Ввод данных'!A46</f>
        <v>0</v>
      </c>
      <c r="B59" s="75"/>
      <c r="C59" s="57">
        <f>'[1]Ввод данных'!B46</f>
        <v>0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75" t="str">
        <f>CONCATENATE('[1]Ввод данных'!F46," ",'[1]Ввод данных'!G46)</f>
        <v xml:space="preserve"> </v>
      </c>
      <c r="Z59" s="75"/>
      <c r="AA59" s="75"/>
      <c r="AB59" s="75"/>
      <c r="AC59" s="76">
        <f>'[1]Ввод данных'!I46</f>
        <v>0</v>
      </c>
      <c r="AD59" s="76"/>
      <c r="AE59" s="76"/>
      <c r="AF59" s="76"/>
      <c r="AG59" s="76">
        <f>'[1]Ввод данных'!J46</f>
        <v>0</v>
      </c>
      <c r="AH59" s="76"/>
      <c r="AI59" s="76"/>
      <c r="AJ59" s="76"/>
    </row>
    <row r="60" spans="1:36" hidden="1" x14ac:dyDescent="0.25">
      <c r="A60" s="75">
        <f>'[1]Ввод данных'!A47</f>
        <v>0</v>
      </c>
      <c r="B60" s="75"/>
      <c r="C60" s="57">
        <f>'[1]Ввод данных'!B47</f>
        <v>0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75" t="str">
        <f>CONCATENATE('[1]Ввод данных'!F47," ",'[1]Ввод данных'!G47)</f>
        <v xml:space="preserve"> </v>
      </c>
      <c r="Z60" s="75"/>
      <c r="AA60" s="75"/>
      <c r="AB60" s="75"/>
      <c r="AC60" s="76">
        <f>'[1]Ввод данных'!I47</f>
        <v>0</v>
      </c>
      <c r="AD60" s="76"/>
      <c r="AE60" s="76"/>
      <c r="AF60" s="76"/>
      <c r="AG60" s="76">
        <f>'[1]Ввод данных'!J47</f>
        <v>0</v>
      </c>
      <c r="AH60" s="76"/>
      <c r="AI60" s="76"/>
      <c r="AJ60" s="76"/>
    </row>
    <row r="61" spans="1:36" hidden="1" x14ac:dyDescent="0.25">
      <c r="A61" s="75">
        <f>'[1]Ввод данных'!A48</f>
        <v>0</v>
      </c>
      <c r="B61" s="75"/>
      <c r="C61" s="57">
        <f>'[1]Ввод данных'!B48</f>
        <v>0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75" t="str">
        <f>CONCATENATE('[1]Ввод данных'!F48," ",'[1]Ввод данных'!G48)</f>
        <v xml:space="preserve"> </v>
      </c>
      <c r="Z61" s="75"/>
      <c r="AA61" s="75"/>
      <c r="AB61" s="75"/>
      <c r="AC61" s="76">
        <f>'[1]Ввод данных'!I48</f>
        <v>0</v>
      </c>
      <c r="AD61" s="76"/>
      <c r="AE61" s="76"/>
      <c r="AF61" s="76"/>
      <c r="AG61" s="76">
        <f>'[1]Ввод данных'!J48</f>
        <v>0</v>
      </c>
      <c r="AH61" s="76"/>
      <c r="AI61" s="76"/>
      <c r="AJ61" s="76"/>
    </row>
    <row r="62" spans="1:36" hidden="1" x14ac:dyDescent="0.25">
      <c r="A62" s="75">
        <f>'[1]Ввод данных'!A49</f>
        <v>0</v>
      </c>
      <c r="B62" s="75"/>
      <c r="C62" s="57">
        <f>'[1]Ввод данных'!B49</f>
        <v>0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75" t="str">
        <f>CONCATENATE('[1]Ввод данных'!F49," ",'[1]Ввод данных'!G49)</f>
        <v xml:space="preserve"> </v>
      </c>
      <c r="Z62" s="75"/>
      <c r="AA62" s="75"/>
      <c r="AB62" s="75"/>
      <c r="AC62" s="76">
        <f>'[1]Ввод данных'!I49</f>
        <v>0</v>
      </c>
      <c r="AD62" s="76"/>
      <c r="AE62" s="76"/>
      <c r="AF62" s="76"/>
      <c r="AG62" s="76">
        <f>'[1]Ввод данных'!J49</f>
        <v>0</v>
      </c>
      <c r="AH62" s="76"/>
      <c r="AI62" s="76"/>
      <c r="AJ62" s="76"/>
    </row>
    <row r="63" spans="1:36" hidden="1" x14ac:dyDescent="0.25">
      <c r="A63" s="75">
        <f>'[1]Ввод данных'!A50</f>
        <v>0</v>
      </c>
      <c r="B63" s="75"/>
      <c r="C63" s="57">
        <f>'[1]Ввод данных'!B50</f>
        <v>0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75" t="str">
        <f>CONCATENATE('[1]Ввод данных'!F50," ",'[1]Ввод данных'!G50)</f>
        <v xml:space="preserve"> </v>
      </c>
      <c r="Z63" s="75"/>
      <c r="AA63" s="75"/>
      <c r="AB63" s="75"/>
      <c r="AC63" s="76">
        <f>'[1]Ввод данных'!I50</f>
        <v>0</v>
      </c>
      <c r="AD63" s="76"/>
      <c r="AE63" s="76"/>
      <c r="AF63" s="76"/>
      <c r="AG63" s="76">
        <f>'[1]Ввод данных'!J50</f>
        <v>0</v>
      </c>
      <c r="AH63" s="76"/>
      <c r="AI63" s="76"/>
      <c r="AJ63" s="76"/>
    </row>
    <row r="64" spans="1:36" hidden="1" x14ac:dyDescent="0.25">
      <c r="A64" s="75">
        <f>'[1]Ввод данных'!A51</f>
        <v>0</v>
      </c>
      <c r="B64" s="75"/>
      <c r="C64" s="57">
        <f>'[1]Ввод данных'!B51</f>
        <v>0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75" t="str">
        <f>CONCATENATE('[1]Ввод данных'!F51," ",'[1]Ввод данных'!G51)</f>
        <v xml:space="preserve"> </v>
      </c>
      <c r="Z64" s="75"/>
      <c r="AA64" s="75"/>
      <c r="AB64" s="75"/>
      <c r="AC64" s="76">
        <f>'[1]Ввод данных'!I51</f>
        <v>0</v>
      </c>
      <c r="AD64" s="76"/>
      <c r="AE64" s="76"/>
      <c r="AF64" s="76"/>
      <c r="AG64" s="76">
        <f>'[1]Ввод данных'!J51</f>
        <v>0</v>
      </c>
      <c r="AH64" s="76"/>
      <c r="AI64" s="76"/>
      <c r="AJ64" s="76"/>
    </row>
    <row r="65" spans="1:36" hidden="1" x14ac:dyDescent="0.25">
      <c r="A65" s="75">
        <f>'[1]Ввод данных'!A52</f>
        <v>0</v>
      </c>
      <c r="B65" s="75"/>
      <c r="C65" s="57">
        <f>'[1]Ввод данных'!B52</f>
        <v>0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75" t="str">
        <f>CONCATENATE('[1]Ввод данных'!F52," ",'[1]Ввод данных'!G52)</f>
        <v xml:space="preserve"> </v>
      </c>
      <c r="Z65" s="75"/>
      <c r="AA65" s="75"/>
      <c r="AB65" s="75"/>
      <c r="AC65" s="76">
        <f>'[1]Ввод данных'!I52</f>
        <v>0</v>
      </c>
      <c r="AD65" s="76"/>
      <c r="AE65" s="76"/>
      <c r="AF65" s="76"/>
      <c r="AG65" s="76">
        <f>'[1]Ввод данных'!J52</f>
        <v>0</v>
      </c>
      <c r="AH65" s="76"/>
      <c r="AI65" s="76"/>
      <c r="AJ65" s="76"/>
    </row>
    <row r="66" spans="1:36" hidden="1" x14ac:dyDescent="0.25">
      <c r="A66" s="75">
        <f>'[1]Ввод данных'!A53</f>
        <v>0</v>
      </c>
      <c r="B66" s="75"/>
      <c r="C66" s="57">
        <f>'[1]Ввод данных'!B53</f>
        <v>0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75" t="str">
        <f>CONCATENATE('[1]Ввод данных'!F53," ",'[1]Ввод данных'!G53)</f>
        <v xml:space="preserve"> </v>
      </c>
      <c r="Z66" s="75"/>
      <c r="AA66" s="75"/>
      <c r="AB66" s="75"/>
      <c r="AC66" s="76">
        <f>'[1]Ввод данных'!I53</f>
        <v>0</v>
      </c>
      <c r="AD66" s="76"/>
      <c r="AE66" s="76"/>
      <c r="AF66" s="76"/>
      <c r="AG66" s="76">
        <f>'[1]Ввод данных'!J53</f>
        <v>0</v>
      </c>
      <c r="AH66" s="76"/>
      <c r="AI66" s="76"/>
      <c r="AJ66" s="76"/>
    </row>
    <row r="67" spans="1:36" hidden="1" x14ac:dyDescent="0.25">
      <c r="A67" s="75">
        <f>'[1]Ввод данных'!A54</f>
        <v>0</v>
      </c>
      <c r="B67" s="75"/>
      <c r="C67" s="57">
        <f>'[1]Ввод данных'!B54</f>
        <v>0</v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75" t="str">
        <f>CONCATENATE('[1]Ввод данных'!F54," ",'[1]Ввод данных'!G54)</f>
        <v xml:space="preserve"> </v>
      </c>
      <c r="Z67" s="75"/>
      <c r="AA67" s="75"/>
      <c r="AB67" s="75"/>
      <c r="AC67" s="76">
        <f>'[1]Ввод данных'!I54</f>
        <v>0</v>
      </c>
      <c r="AD67" s="76"/>
      <c r="AE67" s="76"/>
      <c r="AF67" s="76"/>
      <c r="AG67" s="76">
        <f>'[1]Ввод данных'!J54</f>
        <v>0</v>
      </c>
      <c r="AH67" s="76"/>
      <c r="AI67" s="76"/>
      <c r="AJ67" s="76"/>
    </row>
    <row r="68" spans="1:36" hidden="1" x14ac:dyDescent="0.25">
      <c r="A68" s="75">
        <f>'[1]Ввод данных'!A55</f>
        <v>0</v>
      </c>
      <c r="B68" s="75"/>
      <c r="C68" s="57">
        <f>'[1]Ввод данных'!B55</f>
        <v>0</v>
      </c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75" t="str">
        <f>CONCATENATE('[1]Ввод данных'!F55," ",'[1]Ввод данных'!G55)</f>
        <v xml:space="preserve"> </v>
      </c>
      <c r="Z68" s="75"/>
      <c r="AA68" s="75"/>
      <c r="AB68" s="75"/>
      <c r="AC68" s="76">
        <f>'[1]Ввод данных'!I55</f>
        <v>0</v>
      </c>
      <c r="AD68" s="76"/>
      <c r="AE68" s="76"/>
      <c r="AF68" s="76"/>
      <c r="AG68" s="76">
        <f>'[1]Ввод данных'!J55</f>
        <v>0</v>
      </c>
      <c r="AH68" s="76"/>
      <c r="AI68" s="76"/>
      <c r="AJ68" s="76"/>
    </row>
    <row r="69" spans="1:36" hidden="1" x14ac:dyDescent="0.25">
      <c r="A69" s="75">
        <f>'[1]Ввод данных'!A56</f>
        <v>0</v>
      </c>
      <c r="B69" s="75"/>
      <c r="C69" s="57">
        <f>'[1]Ввод данных'!B56</f>
        <v>0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75" t="str">
        <f>CONCATENATE('[1]Ввод данных'!F56," ",'[1]Ввод данных'!G56)</f>
        <v xml:space="preserve"> </v>
      </c>
      <c r="Z69" s="75"/>
      <c r="AA69" s="75"/>
      <c r="AB69" s="75"/>
      <c r="AC69" s="76">
        <f>'[1]Ввод данных'!I56</f>
        <v>0</v>
      </c>
      <c r="AD69" s="76"/>
      <c r="AE69" s="76"/>
      <c r="AF69" s="76"/>
      <c r="AG69" s="76">
        <f>'[1]Ввод данных'!J56</f>
        <v>0</v>
      </c>
      <c r="AH69" s="76"/>
      <c r="AI69" s="76"/>
      <c r="AJ69" s="76"/>
    </row>
    <row r="70" spans="1:36" hidden="1" x14ac:dyDescent="0.25">
      <c r="A70" s="75">
        <f>'[1]Ввод данных'!A57</f>
        <v>0</v>
      </c>
      <c r="B70" s="75"/>
      <c r="C70" s="57">
        <f>'[1]Ввод данных'!B57</f>
        <v>0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75" t="str">
        <f>CONCATENATE('[1]Ввод данных'!F57," ",'[1]Ввод данных'!G57)</f>
        <v xml:space="preserve"> </v>
      </c>
      <c r="Z70" s="75"/>
      <c r="AA70" s="75"/>
      <c r="AB70" s="75"/>
      <c r="AC70" s="76">
        <f>'[1]Ввод данных'!I57</f>
        <v>0</v>
      </c>
      <c r="AD70" s="76"/>
      <c r="AE70" s="76"/>
      <c r="AF70" s="76"/>
      <c r="AG70" s="76">
        <f>'[1]Ввод данных'!J57</f>
        <v>0</v>
      </c>
      <c r="AH70" s="76"/>
      <c r="AI70" s="76"/>
      <c r="AJ70" s="76"/>
    </row>
    <row r="71" spans="1:36" hidden="1" x14ac:dyDescent="0.25">
      <c r="A71" s="75">
        <f>'[1]Ввод данных'!A58</f>
        <v>0</v>
      </c>
      <c r="B71" s="75"/>
      <c r="C71" s="57">
        <f>'[1]Ввод данных'!B58</f>
        <v>0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75" t="str">
        <f>CONCATENATE('[1]Ввод данных'!F58," ",'[1]Ввод данных'!G58)</f>
        <v xml:space="preserve"> </v>
      </c>
      <c r="Z71" s="75"/>
      <c r="AA71" s="75"/>
      <c r="AB71" s="75"/>
      <c r="AC71" s="76">
        <f>'[1]Ввод данных'!I58</f>
        <v>0</v>
      </c>
      <c r="AD71" s="76"/>
      <c r="AE71" s="76"/>
      <c r="AF71" s="76"/>
      <c r="AG71" s="76">
        <f>'[1]Ввод данных'!J58</f>
        <v>0</v>
      </c>
      <c r="AH71" s="76"/>
      <c r="AI71" s="76"/>
      <c r="AJ71" s="76"/>
    </row>
    <row r="72" spans="1:36" hidden="1" x14ac:dyDescent="0.25">
      <c r="A72" s="75">
        <f>'[1]Ввод данных'!A59</f>
        <v>0</v>
      </c>
      <c r="B72" s="75"/>
      <c r="C72" s="57">
        <f>'[1]Ввод данных'!B59</f>
        <v>0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75" t="str">
        <f>CONCATENATE('[1]Ввод данных'!F59," ",'[1]Ввод данных'!G59)</f>
        <v xml:space="preserve"> </v>
      </c>
      <c r="Z72" s="75"/>
      <c r="AA72" s="75"/>
      <c r="AB72" s="75"/>
      <c r="AC72" s="76">
        <f>'[1]Ввод данных'!I59</f>
        <v>0</v>
      </c>
      <c r="AD72" s="76"/>
      <c r="AE72" s="76"/>
      <c r="AF72" s="76"/>
      <c r="AG72" s="76">
        <f>'[1]Ввод данных'!J59</f>
        <v>0</v>
      </c>
      <c r="AH72" s="76"/>
      <c r="AI72" s="76"/>
      <c r="AJ72" s="76"/>
    </row>
    <row r="73" spans="1:36" hidden="1" x14ac:dyDescent="0.25">
      <c r="A73" s="75">
        <f>'[1]Ввод данных'!A60</f>
        <v>0</v>
      </c>
      <c r="B73" s="75"/>
      <c r="C73" s="57">
        <f>'[1]Ввод данных'!B60</f>
        <v>0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75" t="str">
        <f>CONCATENATE('[1]Ввод данных'!F60," ",'[1]Ввод данных'!G60)</f>
        <v xml:space="preserve"> </v>
      </c>
      <c r="Z73" s="75"/>
      <c r="AA73" s="75"/>
      <c r="AB73" s="75"/>
      <c r="AC73" s="76">
        <f>'[1]Ввод данных'!I60</f>
        <v>0</v>
      </c>
      <c r="AD73" s="76"/>
      <c r="AE73" s="76"/>
      <c r="AF73" s="76"/>
      <c r="AG73" s="76">
        <f>'[1]Ввод данных'!J60</f>
        <v>0</v>
      </c>
      <c r="AH73" s="76"/>
      <c r="AI73" s="76"/>
      <c r="AJ73" s="76"/>
    </row>
    <row r="74" spans="1:36" hidden="1" x14ac:dyDescent="0.25">
      <c r="A74" s="75">
        <f>'[1]Ввод данных'!A61</f>
        <v>0</v>
      </c>
      <c r="B74" s="75"/>
      <c r="C74" s="57">
        <f>'[1]Ввод данных'!B61</f>
        <v>0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75" t="str">
        <f>CONCATENATE('[1]Ввод данных'!F61," ",'[1]Ввод данных'!G61)</f>
        <v xml:space="preserve"> </v>
      </c>
      <c r="Z74" s="75"/>
      <c r="AA74" s="75"/>
      <c r="AB74" s="75"/>
      <c r="AC74" s="76">
        <f>'[1]Ввод данных'!I61</f>
        <v>0</v>
      </c>
      <c r="AD74" s="76"/>
      <c r="AE74" s="76"/>
      <c r="AF74" s="76"/>
      <c r="AG74" s="76">
        <f>'[1]Ввод данных'!J61</f>
        <v>0</v>
      </c>
      <c r="AH74" s="76"/>
      <c r="AI74" s="76"/>
      <c r="AJ74" s="76"/>
    </row>
    <row r="75" spans="1:36" hidden="1" x14ac:dyDescent="0.25">
      <c r="A75" s="75">
        <f>'[1]Ввод данных'!A62</f>
        <v>0</v>
      </c>
      <c r="B75" s="75"/>
      <c r="C75" s="57">
        <f>'[1]Ввод данных'!B62</f>
        <v>0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75" t="str">
        <f>CONCATENATE('[1]Ввод данных'!F62," ",'[1]Ввод данных'!G62)</f>
        <v xml:space="preserve"> </v>
      </c>
      <c r="Z75" s="75"/>
      <c r="AA75" s="75"/>
      <c r="AB75" s="75"/>
      <c r="AC75" s="76">
        <f>'[1]Ввод данных'!I62</f>
        <v>0</v>
      </c>
      <c r="AD75" s="76"/>
      <c r="AE75" s="76"/>
      <c r="AF75" s="76"/>
      <c r="AG75" s="76">
        <f>'[1]Ввод данных'!J62</f>
        <v>0</v>
      </c>
      <c r="AH75" s="76"/>
      <c r="AI75" s="76"/>
      <c r="AJ75" s="76"/>
    </row>
    <row r="76" spans="1:36" hidden="1" x14ac:dyDescent="0.25">
      <c r="A76" s="75">
        <f>'[1]Ввод данных'!A63</f>
        <v>0</v>
      </c>
      <c r="B76" s="75"/>
      <c r="C76" s="57">
        <f>'[1]Ввод данных'!B63</f>
        <v>0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75" t="str">
        <f>CONCATENATE('[1]Ввод данных'!F63," ",'[1]Ввод данных'!G63)</f>
        <v xml:space="preserve"> </v>
      </c>
      <c r="Z76" s="75"/>
      <c r="AA76" s="75"/>
      <c r="AB76" s="75"/>
      <c r="AC76" s="76">
        <f>'[1]Ввод данных'!I63</f>
        <v>0</v>
      </c>
      <c r="AD76" s="76"/>
      <c r="AE76" s="76"/>
      <c r="AF76" s="76"/>
      <c r="AG76" s="76">
        <f>'[1]Ввод данных'!J63</f>
        <v>0</v>
      </c>
      <c r="AH76" s="76"/>
      <c r="AI76" s="76"/>
      <c r="AJ76" s="76"/>
    </row>
    <row r="77" spans="1:36" hidden="1" x14ac:dyDescent="0.25">
      <c r="A77" s="75">
        <f>'[1]Ввод данных'!A64</f>
        <v>0</v>
      </c>
      <c r="B77" s="75"/>
      <c r="C77" s="57">
        <f>'[1]Ввод данных'!B64</f>
        <v>0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75" t="str">
        <f>CONCATENATE('[1]Ввод данных'!F64," ",'[1]Ввод данных'!G64)</f>
        <v xml:space="preserve"> </v>
      </c>
      <c r="Z77" s="75"/>
      <c r="AA77" s="75"/>
      <c r="AB77" s="75"/>
      <c r="AC77" s="76">
        <f>'[1]Ввод данных'!I64</f>
        <v>0</v>
      </c>
      <c r="AD77" s="76"/>
      <c r="AE77" s="76"/>
      <c r="AF77" s="76"/>
      <c r="AG77" s="76">
        <f>'[1]Ввод данных'!J64</f>
        <v>0</v>
      </c>
      <c r="AH77" s="76"/>
      <c r="AI77" s="76"/>
      <c r="AJ77" s="76"/>
    </row>
    <row r="78" spans="1:36" hidden="1" x14ac:dyDescent="0.25">
      <c r="A78" s="75">
        <f>'[1]Ввод данных'!A65</f>
        <v>0</v>
      </c>
      <c r="B78" s="75"/>
      <c r="C78" s="57">
        <f>'[1]Ввод данных'!B65</f>
        <v>0</v>
      </c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75" t="str">
        <f>CONCATENATE('[1]Ввод данных'!F65," ",'[1]Ввод данных'!G65)</f>
        <v xml:space="preserve"> </v>
      </c>
      <c r="Z78" s="75"/>
      <c r="AA78" s="75"/>
      <c r="AB78" s="75"/>
      <c r="AC78" s="76">
        <f>'[1]Ввод данных'!I65</f>
        <v>0</v>
      </c>
      <c r="AD78" s="76"/>
      <c r="AE78" s="76"/>
      <c r="AF78" s="76"/>
      <c r="AG78" s="76">
        <f>'[1]Ввод данных'!J65</f>
        <v>0</v>
      </c>
      <c r="AH78" s="76"/>
      <c r="AI78" s="76"/>
      <c r="AJ78" s="76"/>
    </row>
    <row r="79" spans="1:36" hidden="1" x14ac:dyDescent="0.25">
      <c r="A79" s="75">
        <f>'[1]Ввод данных'!A66</f>
        <v>0</v>
      </c>
      <c r="B79" s="75"/>
      <c r="C79" s="57">
        <f>'[1]Ввод данных'!B66</f>
        <v>0</v>
      </c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75" t="str">
        <f>CONCATENATE('[1]Ввод данных'!F66," ",'[1]Ввод данных'!G66)</f>
        <v xml:space="preserve"> </v>
      </c>
      <c r="Z79" s="75"/>
      <c r="AA79" s="75"/>
      <c r="AB79" s="75"/>
      <c r="AC79" s="76">
        <f>'[1]Ввод данных'!I66</f>
        <v>0</v>
      </c>
      <c r="AD79" s="76"/>
      <c r="AE79" s="76"/>
      <c r="AF79" s="76"/>
      <c r="AG79" s="76">
        <f>'[1]Ввод данных'!J66</f>
        <v>0</v>
      </c>
      <c r="AH79" s="76"/>
      <c r="AI79" s="76"/>
      <c r="AJ79" s="76"/>
    </row>
    <row r="80" spans="1:36" hidden="1" x14ac:dyDescent="0.25">
      <c r="A80" s="75">
        <f>'[1]Ввод данных'!A67</f>
        <v>0</v>
      </c>
      <c r="B80" s="75"/>
      <c r="C80" s="57">
        <f>'[1]Ввод данных'!B67</f>
        <v>0</v>
      </c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75" t="str">
        <f>CONCATENATE('[1]Ввод данных'!F67," ",'[1]Ввод данных'!G67)</f>
        <v xml:space="preserve"> </v>
      </c>
      <c r="Z80" s="75"/>
      <c r="AA80" s="75"/>
      <c r="AB80" s="75"/>
      <c r="AC80" s="76">
        <f>'[1]Ввод данных'!I67</f>
        <v>0</v>
      </c>
      <c r="AD80" s="76"/>
      <c r="AE80" s="76"/>
      <c r="AF80" s="76"/>
      <c r="AG80" s="76">
        <f>'[1]Ввод данных'!J67</f>
        <v>0</v>
      </c>
      <c r="AH80" s="76"/>
      <c r="AI80" s="76"/>
      <c r="AJ80" s="76"/>
    </row>
    <row r="81" spans="1:36" hidden="1" x14ac:dyDescent="0.25">
      <c r="A81" s="75">
        <f>'[1]Ввод данных'!A68</f>
        <v>0</v>
      </c>
      <c r="B81" s="75"/>
      <c r="C81" s="57">
        <f>'[1]Ввод данных'!B68</f>
        <v>0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75" t="str">
        <f>CONCATENATE('[1]Ввод данных'!F68," ",'[1]Ввод данных'!G68)</f>
        <v xml:space="preserve"> </v>
      </c>
      <c r="Z81" s="75"/>
      <c r="AA81" s="75"/>
      <c r="AB81" s="75"/>
      <c r="AC81" s="76">
        <f>'[1]Ввод данных'!I68</f>
        <v>0</v>
      </c>
      <c r="AD81" s="76"/>
      <c r="AE81" s="76"/>
      <c r="AF81" s="76"/>
      <c r="AG81" s="76">
        <f>'[1]Ввод данных'!J68</f>
        <v>0</v>
      </c>
      <c r="AH81" s="76"/>
      <c r="AI81" s="76"/>
      <c r="AJ81" s="76"/>
    </row>
    <row r="82" spans="1:36" hidden="1" x14ac:dyDescent="0.25">
      <c r="A82" s="75">
        <f>'[1]Ввод данных'!A69</f>
        <v>0</v>
      </c>
      <c r="B82" s="75"/>
      <c r="C82" s="57">
        <f>'[1]Ввод данных'!B69</f>
        <v>0</v>
      </c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75" t="str">
        <f>CONCATENATE('[1]Ввод данных'!F69," ",'[1]Ввод данных'!G69)</f>
        <v xml:space="preserve"> </v>
      </c>
      <c r="Z82" s="75"/>
      <c r="AA82" s="75"/>
      <c r="AB82" s="75"/>
      <c r="AC82" s="76">
        <f>'[1]Ввод данных'!I69</f>
        <v>0</v>
      </c>
      <c r="AD82" s="76"/>
      <c r="AE82" s="76"/>
      <c r="AF82" s="76"/>
      <c r="AG82" s="76">
        <f>'[1]Ввод данных'!J69</f>
        <v>0</v>
      </c>
      <c r="AH82" s="76"/>
      <c r="AI82" s="76"/>
      <c r="AJ82" s="76"/>
    </row>
    <row r="83" spans="1:36" hidden="1" x14ac:dyDescent="0.25">
      <c r="A83" s="75">
        <f>'[1]Ввод данных'!A70</f>
        <v>0</v>
      </c>
      <c r="B83" s="75"/>
      <c r="C83" s="57">
        <f>'[1]Ввод данных'!B70</f>
        <v>0</v>
      </c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75" t="str">
        <f>CONCATENATE('[1]Ввод данных'!F70," ",'[1]Ввод данных'!G70)</f>
        <v xml:space="preserve"> </v>
      </c>
      <c r="Z83" s="75"/>
      <c r="AA83" s="75"/>
      <c r="AB83" s="75"/>
      <c r="AC83" s="76">
        <f>'[1]Ввод данных'!I70</f>
        <v>0</v>
      </c>
      <c r="AD83" s="76"/>
      <c r="AE83" s="76"/>
      <c r="AF83" s="76"/>
      <c r="AG83" s="76">
        <f>'[1]Ввод данных'!J70</f>
        <v>0</v>
      </c>
      <c r="AH83" s="76"/>
      <c r="AI83" s="76"/>
      <c r="AJ83" s="76"/>
    </row>
    <row r="84" spans="1:36" hidden="1" x14ac:dyDescent="0.25">
      <c r="A84" s="75">
        <f>'[1]Ввод данных'!A71</f>
        <v>0</v>
      </c>
      <c r="B84" s="75"/>
      <c r="C84" s="57">
        <f>'[1]Ввод данных'!B71</f>
        <v>0</v>
      </c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75" t="str">
        <f>CONCATENATE('[1]Ввод данных'!F71," ",'[1]Ввод данных'!G71)</f>
        <v xml:space="preserve"> </v>
      </c>
      <c r="Z84" s="75"/>
      <c r="AA84" s="75"/>
      <c r="AB84" s="75"/>
      <c r="AC84" s="76">
        <f>'[1]Ввод данных'!I71</f>
        <v>0</v>
      </c>
      <c r="AD84" s="76"/>
      <c r="AE84" s="76"/>
      <c r="AF84" s="76"/>
      <c r="AG84" s="76">
        <f>'[1]Ввод данных'!J71</f>
        <v>0</v>
      </c>
      <c r="AH84" s="76"/>
      <c r="AI84" s="76"/>
      <c r="AJ84" s="76"/>
    </row>
    <row r="85" spans="1:36" hidden="1" x14ac:dyDescent="0.25">
      <c r="A85" s="75">
        <f>'[1]Ввод данных'!A72</f>
        <v>0</v>
      </c>
      <c r="B85" s="75"/>
      <c r="C85" s="57">
        <f>'[1]Ввод данных'!B72</f>
        <v>0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75" t="str">
        <f>CONCATENATE('[1]Ввод данных'!F72," ",'[1]Ввод данных'!G72)</f>
        <v xml:space="preserve"> </v>
      </c>
      <c r="Z85" s="75"/>
      <c r="AA85" s="75"/>
      <c r="AB85" s="75"/>
      <c r="AC85" s="76">
        <f>'[1]Ввод данных'!I72</f>
        <v>0</v>
      </c>
      <c r="AD85" s="76"/>
      <c r="AE85" s="76"/>
      <c r="AF85" s="76"/>
      <c r="AG85" s="76">
        <f>'[1]Ввод данных'!J72</f>
        <v>0</v>
      </c>
      <c r="AH85" s="76"/>
      <c r="AI85" s="76"/>
      <c r="AJ85" s="76"/>
    </row>
    <row r="86" spans="1:36" hidden="1" x14ac:dyDescent="0.25">
      <c r="A86" s="75">
        <f>'[1]Ввод данных'!A73</f>
        <v>0</v>
      </c>
      <c r="B86" s="75"/>
      <c r="C86" s="57">
        <f>'[1]Ввод данных'!B73</f>
        <v>0</v>
      </c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75" t="str">
        <f>CONCATENATE('[1]Ввод данных'!F73," ",'[1]Ввод данных'!G73)</f>
        <v xml:space="preserve"> </v>
      </c>
      <c r="Z86" s="75"/>
      <c r="AA86" s="75"/>
      <c r="AB86" s="75"/>
      <c r="AC86" s="76">
        <f>'[1]Ввод данных'!I73</f>
        <v>0</v>
      </c>
      <c r="AD86" s="76"/>
      <c r="AE86" s="76"/>
      <c r="AF86" s="76"/>
      <c r="AG86" s="76">
        <f>'[1]Ввод данных'!J73</f>
        <v>0</v>
      </c>
      <c r="AH86" s="76"/>
      <c r="AI86" s="76"/>
      <c r="AJ86" s="76"/>
    </row>
    <row r="87" spans="1:36" hidden="1" x14ac:dyDescent="0.25">
      <c r="A87" s="75">
        <f>'[1]Ввод данных'!A74</f>
        <v>0</v>
      </c>
      <c r="B87" s="75"/>
      <c r="C87" s="57">
        <f>'[1]Ввод данных'!B74</f>
        <v>0</v>
      </c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75" t="str">
        <f>CONCATENATE('[1]Ввод данных'!F74," ",'[1]Ввод данных'!G74)</f>
        <v xml:space="preserve"> </v>
      </c>
      <c r="Z87" s="75"/>
      <c r="AA87" s="75"/>
      <c r="AB87" s="75"/>
      <c r="AC87" s="76">
        <f>'[1]Ввод данных'!I74</f>
        <v>0</v>
      </c>
      <c r="AD87" s="76"/>
      <c r="AE87" s="76"/>
      <c r="AF87" s="76"/>
      <c r="AG87" s="76">
        <f>'[1]Ввод данных'!J74</f>
        <v>0</v>
      </c>
      <c r="AH87" s="76"/>
      <c r="AI87" s="76"/>
      <c r="AJ87" s="76"/>
    </row>
    <row r="88" spans="1:36" hidden="1" x14ac:dyDescent="0.25">
      <c r="A88" s="75">
        <f>'[1]Ввод данных'!A75</f>
        <v>0</v>
      </c>
      <c r="B88" s="75"/>
      <c r="C88" s="57">
        <f>'[1]Ввод данных'!B75</f>
        <v>0</v>
      </c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75" t="str">
        <f>CONCATENATE('[1]Ввод данных'!F75," ",'[1]Ввод данных'!G75)</f>
        <v xml:space="preserve"> </v>
      </c>
      <c r="Z88" s="75"/>
      <c r="AA88" s="75"/>
      <c r="AB88" s="75"/>
      <c r="AC88" s="76">
        <f>'[1]Ввод данных'!I75</f>
        <v>0</v>
      </c>
      <c r="AD88" s="76"/>
      <c r="AE88" s="76"/>
      <c r="AF88" s="76"/>
      <c r="AG88" s="76">
        <f>'[1]Ввод данных'!J75</f>
        <v>0</v>
      </c>
      <c r="AH88" s="76"/>
      <c r="AI88" s="76"/>
      <c r="AJ88" s="76"/>
    </row>
    <row r="89" spans="1:36" hidden="1" x14ac:dyDescent="0.25">
      <c r="A89" s="75">
        <f>'[1]Ввод данных'!A76</f>
        <v>0</v>
      </c>
      <c r="B89" s="75"/>
      <c r="C89" s="57">
        <f>'[1]Ввод данных'!B76</f>
        <v>0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75" t="str">
        <f>CONCATENATE('[1]Ввод данных'!F76," ",'[1]Ввод данных'!G76)</f>
        <v xml:space="preserve"> </v>
      </c>
      <c r="Z89" s="75"/>
      <c r="AA89" s="75"/>
      <c r="AB89" s="75"/>
      <c r="AC89" s="76">
        <f>'[1]Ввод данных'!I76</f>
        <v>0</v>
      </c>
      <c r="AD89" s="76"/>
      <c r="AE89" s="76"/>
      <c r="AF89" s="76"/>
      <c r="AG89" s="76">
        <f>'[1]Ввод данных'!J76</f>
        <v>0</v>
      </c>
      <c r="AH89" s="76"/>
      <c r="AI89" s="76"/>
      <c r="AJ89" s="76"/>
    </row>
    <row r="90" spans="1:36" hidden="1" x14ac:dyDescent="0.25">
      <c r="A90" s="75">
        <f>'[1]Ввод данных'!A77</f>
        <v>0</v>
      </c>
      <c r="B90" s="75"/>
      <c r="C90" s="57">
        <f>'[1]Ввод данных'!B77</f>
        <v>0</v>
      </c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75" t="str">
        <f>CONCATENATE('[1]Ввод данных'!F77," ",'[1]Ввод данных'!G77)</f>
        <v xml:space="preserve"> </v>
      </c>
      <c r="Z90" s="75"/>
      <c r="AA90" s="75"/>
      <c r="AB90" s="75"/>
      <c r="AC90" s="76">
        <f>'[1]Ввод данных'!I77</f>
        <v>0</v>
      </c>
      <c r="AD90" s="76"/>
      <c r="AE90" s="76"/>
      <c r="AF90" s="76"/>
      <c r="AG90" s="76">
        <f>'[1]Ввод данных'!J77</f>
        <v>0</v>
      </c>
      <c r="AH90" s="76"/>
      <c r="AI90" s="76"/>
      <c r="AJ90" s="76"/>
    </row>
    <row r="91" spans="1:36" hidden="1" x14ac:dyDescent="0.25">
      <c r="A91" s="75">
        <f>'[1]Ввод данных'!A78</f>
        <v>0</v>
      </c>
      <c r="B91" s="75"/>
      <c r="C91" s="57">
        <f>'[1]Ввод данных'!B78</f>
        <v>0</v>
      </c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75" t="str">
        <f>CONCATENATE('[1]Ввод данных'!F78," ",'[1]Ввод данных'!G78)</f>
        <v xml:space="preserve"> </v>
      </c>
      <c r="Z91" s="75"/>
      <c r="AA91" s="75"/>
      <c r="AB91" s="75"/>
      <c r="AC91" s="76">
        <f>'[1]Ввод данных'!I78</f>
        <v>0</v>
      </c>
      <c r="AD91" s="76"/>
      <c r="AE91" s="76"/>
      <c r="AF91" s="76"/>
      <c r="AG91" s="76">
        <f>'[1]Ввод данных'!J78</f>
        <v>0</v>
      </c>
      <c r="AH91" s="76"/>
      <c r="AI91" s="76"/>
      <c r="AJ91" s="76"/>
    </row>
    <row r="92" spans="1:36" hidden="1" x14ac:dyDescent="0.25">
      <c r="A92" s="75">
        <f>'[1]Ввод данных'!A79</f>
        <v>0</v>
      </c>
      <c r="B92" s="75"/>
      <c r="C92" s="57">
        <f>'[1]Ввод данных'!B79</f>
        <v>0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75" t="str">
        <f>CONCATENATE('[1]Ввод данных'!F79," ",'[1]Ввод данных'!G79)</f>
        <v xml:space="preserve"> </v>
      </c>
      <c r="Z92" s="75"/>
      <c r="AA92" s="75"/>
      <c r="AB92" s="75"/>
      <c r="AC92" s="76">
        <f>'[1]Ввод данных'!I79</f>
        <v>0</v>
      </c>
      <c r="AD92" s="76"/>
      <c r="AE92" s="76"/>
      <c r="AF92" s="76"/>
      <c r="AG92" s="76">
        <f>'[1]Ввод данных'!J79</f>
        <v>0</v>
      </c>
      <c r="AH92" s="76"/>
      <c r="AI92" s="76"/>
      <c r="AJ92" s="76"/>
    </row>
    <row r="93" spans="1:36" hidden="1" x14ac:dyDescent="0.25">
      <c r="A93" s="75">
        <f>'[1]Ввод данных'!A80</f>
        <v>0</v>
      </c>
      <c r="B93" s="75"/>
      <c r="C93" s="57">
        <f>'[1]Ввод данных'!B80</f>
        <v>0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75" t="str">
        <f>CONCATENATE('[1]Ввод данных'!F80," ",'[1]Ввод данных'!G80)</f>
        <v xml:space="preserve"> </v>
      </c>
      <c r="Z93" s="75"/>
      <c r="AA93" s="75"/>
      <c r="AB93" s="75"/>
      <c r="AC93" s="76">
        <f>'[1]Ввод данных'!I80</f>
        <v>0</v>
      </c>
      <c r="AD93" s="76"/>
      <c r="AE93" s="76"/>
      <c r="AF93" s="76"/>
      <c r="AG93" s="76">
        <f>'[1]Ввод данных'!J80</f>
        <v>0</v>
      </c>
      <c r="AH93" s="76"/>
      <c r="AI93" s="76"/>
      <c r="AJ93" s="76"/>
    </row>
    <row r="94" spans="1:36" hidden="1" x14ac:dyDescent="0.25">
      <c r="A94" s="75">
        <f>'[1]Ввод данных'!A81</f>
        <v>0</v>
      </c>
      <c r="B94" s="75"/>
      <c r="C94" s="57">
        <f>'[1]Ввод данных'!B81</f>
        <v>0</v>
      </c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75" t="str">
        <f>CONCATENATE('[1]Ввод данных'!F81," ",'[1]Ввод данных'!G81)</f>
        <v xml:space="preserve"> </v>
      </c>
      <c r="Z94" s="75"/>
      <c r="AA94" s="75"/>
      <c r="AB94" s="75"/>
      <c r="AC94" s="76">
        <f>'[1]Ввод данных'!I81</f>
        <v>0</v>
      </c>
      <c r="AD94" s="76"/>
      <c r="AE94" s="76"/>
      <c r="AF94" s="76"/>
      <c r="AG94" s="76">
        <f>'[1]Ввод данных'!J81</f>
        <v>0</v>
      </c>
      <c r="AH94" s="76"/>
      <c r="AI94" s="76"/>
      <c r="AJ94" s="76"/>
    </row>
    <row r="95" spans="1:36" hidden="1" x14ac:dyDescent="0.25">
      <c r="A95" s="75">
        <f>'[1]Ввод данных'!A82</f>
        <v>0</v>
      </c>
      <c r="B95" s="75"/>
      <c r="C95" s="57">
        <f>'[1]Ввод данных'!B82</f>
        <v>0</v>
      </c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75" t="str">
        <f>CONCATENATE('[1]Ввод данных'!F82," ",'[1]Ввод данных'!G82)</f>
        <v xml:space="preserve"> </v>
      </c>
      <c r="Z95" s="75"/>
      <c r="AA95" s="75"/>
      <c r="AB95" s="75"/>
      <c r="AC95" s="76">
        <f>'[1]Ввод данных'!I82</f>
        <v>0</v>
      </c>
      <c r="AD95" s="76"/>
      <c r="AE95" s="76"/>
      <c r="AF95" s="76"/>
      <c r="AG95" s="76">
        <f>'[1]Ввод данных'!J82</f>
        <v>0</v>
      </c>
      <c r="AH95" s="76"/>
      <c r="AI95" s="76"/>
      <c r="AJ95" s="76"/>
    </row>
    <row r="96" spans="1:36" hidden="1" x14ac:dyDescent="0.25">
      <c r="A96" s="75">
        <f>'[1]Ввод данных'!A83</f>
        <v>0</v>
      </c>
      <c r="B96" s="75"/>
      <c r="C96" s="57">
        <f>'[1]Ввод данных'!B83</f>
        <v>0</v>
      </c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75" t="str">
        <f>CONCATENATE('[1]Ввод данных'!F83," ",'[1]Ввод данных'!G83)</f>
        <v xml:space="preserve"> </v>
      </c>
      <c r="Z96" s="75"/>
      <c r="AA96" s="75"/>
      <c r="AB96" s="75"/>
      <c r="AC96" s="76">
        <f>'[1]Ввод данных'!I83</f>
        <v>0</v>
      </c>
      <c r="AD96" s="76"/>
      <c r="AE96" s="76"/>
      <c r="AF96" s="76"/>
      <c r="AG96" s="76">
        <f>'[1]Ввод данных'!J83</f>
        <v>0</v>
      </c>
      <c r="AH96" s="76"/>
      <c r="AI96" s="76"/>
      <c r="AJ96" s="76"/>
    </row>
    <row r="97" spans="1:36" hidden="1" x14ac:dyDescent="0.25">
      <c r="A97" s="75">
        <f>'[1]Ввод данных'!A84</f>
        <v>0</v>
      </c>
      <c r="B97" s="75"/>
      <c r="C97" s="57">
        <f>'[1]Ввод данных'!B84</f>
        <v>0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75" t="str">
        <f>CONCATENATE('[1]Ввод данных'!F84," ",'[1]Ввод данных'!G84)</f>
        <v xml:space="preserve"> </v>
      </c>
      <c r="Z97" s="75"/>
      <c r="AA97" s="75"/>
      <c r="AB97" s="75"/>
      <c r="AC97" s="76">
        <f>'[1]Ввод данных'!I84</f>
        <v>0</v>
      </c>
      <c r="AD97" s="76"/>
      <c r="AE97" s="76"/>
      <c r="AF97" s="76"/>
      <c r="AG97" s="76">
        <f>'[1]Ввод данных'!J84</f>
        <v>0</v>
      </c>
      <c r="AH97" s="76"/>
      <c r="AI97" s="76"/>
      <c r="AJ97" s="76"/>
    </row>
    <row r="98" spans="1:36" hidden="1" x14ac:dyDescent="0.25">
      <c r="A98" s="75">
        <f>'[1]Ввод данных'!A85</f>
        <v>0</v>
      </c>
      <c r="B98" s="75"/>
      <c r="C98" s="57">
        <f>'[1]Ввод данных'!B85</f>
        <v>0</v>
      </c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75" t="str">
        <f>CONCATENATE('[1]Ввод данных'!F85," ",'[1]Ввод данных'!G85)</f>
        <v xml:space="preserve"> </v>
      </c>
      <c r="Z98" s="75"/>
      <c r="AA98" s="75"/>
      <c r="AB98" s="75"/>
      <c r="AC98" s="76">
        <f>'[1]Ввод данных'!I85</f>
        <v>0</v>
      </c>
      <c r="AD98" s="76"/>
      <c r="AE98" s="76"/>
      <c r="AF98" s="76"/>
      <c r="AG98" s="76">
        <f>'[1]Ввод данных'!J85</f>
        <v>0</v>
      </c>
      <c r="AH98" s="76"/>
      <c r="AI98" s="76"/>
      <c r="AJ98" s="76"/>
    </row>
    <row r="99" spans="1:36" hidden="1" x14ac:dyDescent="0.25">
      <c r="A99" s="75">
        <f>'[1]Ввод данных'!A86</f>
        <v>0</v>
      </c>
      <c r="B99" s="75"/>
      <c r="C99" s="57">
        <f>'[1]Ввод данных'!B86</f>
        <v>0</v>
      </c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75" t="str">
        <f>CONCATENATE('[1]Ввод данных'!F86," ",'[1]Ввод данных'!G86)</f>
        <v xml:space="preserve"> </v>
      </c>
      <c r="Z99" s="75"/>
      <c r="AA99" s="75"/>
      <c r="AB99" s="75"/>
      <c r="AC99" s="76">
        <f>'[1]Ввод данных'!I86</f>
        <v>0</v>
      </c>
      <c r="AD99" s="76"/>
      <c r="AE99" s="76"/>
      <c r="AF99" s="76"/>
      <c r="AG99" s="76">
        <f>'[1]Ввод данных'!J86</f>
        <v>0</v>
      </c>
      <c r="AH99" s="76"/>
      <c r="AI99" s="76"/>
      <c r="AJ99" s="76"/>
    </row>
    <row r="100" spans="1:36" hidden="1" x14ac:dyDescent="0.25">
      <c r="A100" s="75">
        <f>'[1]Ввод данных'!A87</f>
        <v>0</v>
      </c>
      <c r="B100" s="75"/>
      <c r="C100" s="57">
        <f>'[1]Ввод данных'!B87</f>
        <v>0</v>
      </c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75" t="str">
        <f>CONCATENATE('[1]Ввод данных'!F87," ",'[1]Ввод данных'!G87)</f>
        <v xml:space="preserve"> </v>
      </c>
      <c r="Z100" s="75"/>
      <c r="AA100" s="75"/>
      <c r="AB100" s="75"/>
      <c r="AC100" s="76">
        <f>'[1]Ввод данных'!I87</f>
        <v>0</v>
      </c>
      <c r="AD100" s="76"/>
      <c r="AE100" s="76"/>
      <c r="AF100" s="76"/>
      <c r="AG100" s="76">
        <f>'[1]Ввод данных'!J87</f>
        <v>0</v>
      </c>
      <c r="AH100" s="76"/>
      <c r="AI100" s="76"/>
      <c r="AJ100" s="76"/>
    </row>
    <row r="101" spans="1:36" hidden="1" x14ac:dyDescent="0.25">
      <c r="A101" s="75">
        <f>'[1]Ввод данных'!A88</f>
        <v>0</v>
      </c>
      <c r="B101" s="75"/>
      <c r="C101" s="57">
        <f>'[1]Ввод данных'!B88</f>
        <v>0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75" t="str">
        <f>CONCATENATE('[1]Ввод данных'!F88," ",'[1]Ввод данных'!G88)</f>
        <v xml:space="preserve"> </v>
      </c>
      <c r="Z101" s="75"/>
      <c r="AA101" s="75"/>
      <c r="AB101" s="75"/>
      <c r="AC101" s="76">
        <f>'[1]Ввод данных'!I88</f>
        <v>0</v>
      </c>
      <c r="AD101" s="76"/>
      <c r="AE101" s="76"/>
      <c r="AF101" s="76"/>
      <c r="AG101" s="76">
        <f>'[1]Ввод данных'!J88</f>
        <v>0</v>
      </c>
      <c r="AH101" s="76"/>
      <c r="AI101" s="76"/>
      <c r="AJ101" s="76"/>
    </row>
    <row r="102" spans="1:36" hidden="1" x14ac:dyDescent="0.25">
      <c r="A102" s="75">
        <f>'[1]Ввод данных'!A89</f>
        <v>0</v>
      </c>
      <c r="B102" s="75"/>
      <c r="C102" s="57">
        <f>'[1]Ввод данных'!B89</f>
        <v>0</v>
      </c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75" t="str">
        <f>CONCATENATE('[1]Ввод данных'!F89," ",'[1]Ввод данных'!G89)</f>
        <v xml:space="preserve"> </v>
      </c>
      <c r="Z102" s="75"/>
      <c r="AA102" s="75"/>
      <c r="AB102" s="75"/>
      <c r="AC102" s="76">
        <f>'[1]Ввод данных'!I89</f>
        <v>0</v>
      </c>
      <c r="AD102" s="76"/>
      <c r="AE102" s="76"/>
      <c r="AF102" s="76"/>
      <c r="AG102" s="76">
        <f>'[1]Ввод данных'!J89</f>
        <v>0</v>
      </c>
      <c r="AH102" s="76"/>
      <c r="AI102" s="76"/>
      <c r="AJ102" s="76"/>
    </row>
    <row r="103" spans="1:36" hidden="1" x14ac:dyDescent="0.25">
      <c r="A103" s="75">
        <f>'[1]Ввод данных'!A90</f>
        <v>0</v>
      </c>
      <c r="B103" s="75"/>
      <c r="C103" s="57">
        <f>'[1]Ввод данных'!B90</f>
        <v>0</v>
      </c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75" t="str">
        <f>CONCATENATE('[1]Ввод данных'!F90," ",'[1]Ввод данных'!G90)</f>
        <v xml:space="preserve"> </v>
      </c>
      <c r="Z103" s="75"/>
      <c r="AA103" s="75"/>
      <c r="AB103" s="75"/>
      <c r="AC103" s="76">
        <f>'[1]Ввод данных'!I90</f>
        <v>0</v>
      </c>
      <c r="AD103" s="76"/>
      <c r="AE103" s="76"/>
      <c r="AF103" s="76"/>
      <c r="AG103" s="76">
        <f>'[1]Ввод данных'!J90</f>
        <v>0</v>
      </c>
      <c r="AH103" s="76"/>
      <c r="AI103" s="76"/>
      <c r="AJ103" s="76"/>
    </row>
    <row r="104" spans="1:36" hidden="1" x14ac:dyDescent="0.25">
      <c r="A104" s="75">
        <f>'[1]Ввод данных'!A91</f>
        <v>0</v>
      </c>
      <c r="B104" s="75"/>
      <c r="C104" s="57">
        <f>'[1]Ввод данных'!B91</f>
        <v>0</v>
      </c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75" t="str">
        <f>CONCATENATE('[1]Ввод данных'!F91," ",'[1]Ввод данных'!G91)</f>
        <v xml:space="preserve"> </v>
      </c>
      <c r="Z104" s="75"/>
      <c r="AA104" s="75"/>
      <c r="AB104" s="75"/>
      <c r="AC104" s="76">
        <f>'[1]Ввод данных'!I91</f>
        <v>0</v>
      </c>
      <c r="AD104" s="76"/>
      <c r="AE104" s="76"/>
      <c r="AF104" s="76"/>
      <c r="AG104" s="76">
        <f>'[1]Ввод данных'!J91</f>
        <v>0</v>
      </c>
      <c r="AH104" s="76"/>
      <c r="AI104" s="76"/>
      <c r="AJ104" s="76"/>
    </row>
    <row r="105" spans="1:36" hidden="1" x14ac:dyDescent="0.25">
      <c r="A105" s="75">
        <f>'[1]Ввод данных'!A92</f>
        <v>0</v>
      </c>
      <c r="B105" s="75"/>
      <c r="C105" s="57">
        <f>'[1]Ввод данных'!B92</f>
        <v>0</v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75" t="str">
        <f>CONCATENATE('[1]Ввод данных'!F92," ",'[1]Ввод данных'!G92)</f>
        <v xml:space="preserve"> </v>
      </c>
      <c r="Z105" s="75"/>
      <c r="AA105" s="75"/>
      <c r="AB105" s="75"/>
      <c r="AC105" s="76">
        <f>'[1]Ввод данных'!I92</f>
        <v>0</v>
      </c>
      <c r="AD105" s="76"/>
      <c r="AE105" s="76"/>
      <c r="AF105" s="76"/>
      <c r="AG105" s="76">
        <f>'[1]Ввод данных'!J92</f>
        <v>0</v>
      </c>
      <c r="AH105" s="76"/>
      <c r="AI105" s="76"/>
      <c r="AJ105" s="76"/>
    </row>
    <row r="106" spans="1:36" hidden="1" x14ac:dyDescent="0.25">
      <c r="A106" s="75">
        <f>'[1]Ввод данных'!A93</f>
        <v>0</v>
      </c>
      <c r="B106" s="75"/>
      <c r="C106" s="57">
        <f>'[1]Ввод данных'!B93</f>
        <v>0</v>
      </c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75" t="str">
        <f>CONCATENATE('[1]Ввод данных'!F93," ",'[1]Ввод данных'!G93)</f>
        <v xml:space="preserve"> </v>
      </c>
      <c r="Z106" s="75"/>
      <c r="AA106" s="75"/>
      <c r="AB106" s="75"/>
      <c r="AC106" s="76">
        <f>'[1]Ввод данных'!I93</f>
        <v>0</v>
      </c>
      <c r="AD106" s="76"/>
      <c r="AE106" s="76"/>
      <c r="AF106" s="76"/>
      <c r="AG106" s="76">
        <f>'[1]Ввод данных'!J93</f>
        <v>0</v>
      </c>
      <c r="AH106" s="76"/>
      <c r="AI106" s="76"/>
      <c r="AJ106" s="76"/>
    </row>
    <row r="107" spans="1:36" hidden="1" x14ac:dyDescent="0.25">
      <c r="A107" s="75">
        <f>'[1]Ввод данных'!A94</f>
        <v>0</v>
      </c>
      <c r="B107" s="75"/>
      <c r="C107" s="57">
        <f>'[1]Ввод данных'!B94</f>
        <v>0</v>
      </c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75" t="str">
        <f>CONCATENATE('[1]Ввод данных'!F94," ",'[1]Ввод данных'!G94)</f>
        <v xml:space="preserve"> </v>
      </c>
      <c r="Z107" s="75"/>
      <c r="AA107" s="75"/>
      <c r="AB107" s="75"/>
      <c r="AC107" s="76">
        <f>'[1]Ввод данных'!I94</f>
        <v>0</v>
      </c>
      <c r="AD107" s="76"/>
      <c r="AE107" s="76"/>
      <c r="AF107" s="76"/>
      <c r="AG107" s="76">
        <f>'[1]Ввод данных'!J94</f>
        <v>0</v>
      </c>
      <c r="AH107" s="76"/>
      <c r="AI107" s="76"/>
      <c r="AJ107" s="76"/>
    </row>
    <row r="108" spans="1:36" hidden="1" x14ac:dyDescent="0.25">
      <c r="A108" s="75">
        <f>'[1]Ввод данных'!A95</f>
        <v>0</v>
      </c>
      <c r="B108" s="75"/>
      <c r="C108" s="57">
        <f>'[1]Ввод данных'!B95</f>
        <v>0</v>
      </c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75" t="str">
        <f>CONCATENATE('[1]Ввод данных'!F95," ",'[1]Ввод данных'!G95)</f>
        <v xml:space="preserve"> </v>
      </c>
      <c r="Z108" s="75"/>
      <c r="AA108" s="75"/>
      <c r="AB108" s="75"/>
      <c r="AC108" s="76">
        <f>'[1]Ввод данных'!I95</f>
        <v>0</v>
      </c>
      <c r="AD108" s="76"/>
      <c r="AE108" s="76"/>
      <c r="AF108" s="76"/>
      <c r="AG108" s="76">
        <f>'[1]Ввод данных'!J95</f>
        <v>0</v>
      </c>
      <c r="AH108" s="76"/>
      <c r="AI108" s="76"/>
      <c r="AJ108" s="76"/>
    </row>
    <row r="109" spans="1:36" hidden="1" x14ac:dyDescent="0.25">
      <c r="A109" s="75">
        <f>'[1]Ввод данных'!A96</f>
        <v>0</v>
      </c>
      <c r="B109" s="75"/>
      <c r="C109" s="57">
        <f>'[1]Ввод данных'!B96</f>
        <v>0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75" t="str">
        <f>CONCATENATE('[1]Ввод данных'!F96," ",'[1]Ввод данных'!G96)</f>
        <v xml:space="preserve"> </v>
      </c>
      <c r="Z109" s="75"/>
      <c r="AA109" s="75"/>
      <c r="AB109" s="75"/>
      <c r="AC109" s="76">
        <f>'[1]Ввод данных'!I96</f>
        <v>0</v>
      </c>
      <c r="AD109" s="76"/>
      <c r="AE109" s="76"/>
      <c r="AF109" s="76"/>
      <c r="AG109" s="76">
        <f>'[1]Ввод данных'!J96</f>
        <v>0</v>
      </c>
      <c r="AH109" s="76"/>
      <c r="AI109" s="76"/>
      <c r="AJ109" s="76"/>
    </row>
    <row r="110" spans="1:36" hidden="1" x14ac:dyDescent="0.25">
      <c r="A110" s="75">
        <f>'[1]Ввод данных'!A97</f>
        <v>0</v>
      </c>
      <c r="B110" s="75"/>
      <c r="C110" s="57">
        <f>'[1]Ввод данных'!B97</f>
        <v>0</v>
      </c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75" t="str">
        <f>CONCATENATE('[1]Ввод данных'!F97," ",'[1]Ввод данных'!G97)</f>
        <v xml:space="preserve"> </v>
      </c>
      <c r="Z110" s="75"/>
      <c r="AA110" s="75"/>
      <c r="AB110" s="75"/>
      <c r="AC110" s="76">
        <f>'[1]Ввод данных'!I97</f>
        <v>0</v>
      </c>
      <c r="AD110" s="76"/>
      <c r="AE110" s="76"/>
      <c r="AF110" s="76"/>
      <c r="AG110" s="76">
        <f>'[1]Ввод данных'!J97</f>
        <v>0</v>
      </c>
      <c r="AH110" s="76"/>
      <c r="AI110" s="76"/>
      <c r="AJ110" s="76"/>
    </row>
    <row r="111" spans="1:36" hidden="1" x14ac:dyDescent="0.25">
      <c r="A111" s="75">
        <f>'[1]Ввод данных'!A98</f>
        <v>0</v>
      </c>
      <c r="B111" s="75"/>
      <c r="C111" s="57">
        <f>'[1]Ввод данных'!B98</f>
        <v>0</v>
      </c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75" t="str">
        <f>CONCATENATE('[1]Ввод данных'!F98," ",'[1]Ввод данных'!G98)</f>
        <v xml:space="preserve"> </v>
      </c>
      <c r="Z111" s="75"/>
      <c r="AA111" s="75"/>
      <c r="AB111" s="75"/>
      <c r="AC111" s="76">
        <f>'[1]Ввод данных'!I98</f>
        <v>0</v>
      </c>
      <c r="AD111" s="76"/>
      <c r="AE111" s="76"/>
      <c r="AF111" s="76"/>
      <c r="AG111" s="76">
        <f>'[1]Ввод данных'!J98</f>
        <v>0</v>
      </c>
      <c r="AH111" s="76"/>
      <c r="AI111" s="76"/>
      <c r="AJ111" s="76"/>
    </row>
    <row r="112" spans="1:36" hidden="1" x14ac:dyDescent="0.25">
      <c r="A112" s="75">
        <f>'[1]Ввод данных'!A99</f>
        <v>0</v>
      </c>
      <c r="B112" s="75"/>
      <c r="C112" s="57">
        <f>'[1]Ввод данных'!B99</f>
        <v>0</v>
      </c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75" t="str">
        <f>CONCATENATE('[1]Ввод данных'!F99," ",'[1]Ввод данных'!G99)</f>
        <v xml:space="preserve"> </v>
      </c>
      <c r="Z112" s="75"/>
      <c r="AA112" s="75"/>
      <c r="AB112" s="75"/>
      <c r="AC112" s="76">
        <f>'[1]Ввод данных'!I99</f>
        <v>0</v>
      </c>
      <c r="AD112" s="76"/>
      <c r="AE112" s="76"/>
      <c r="AF112" s="76"/>
      <c r="AG112" s="76">
        <f>'[1]Ввод данных'!J99</f>
        <v>0</v>
      </c>
      <c r="AH112" s="76"/>
      <c r="AI112" s="76"/>
      <c r="AJ112" s="76"/>
    </row>
    <row r="113" spans="1:36" hidden="1" x14ac:dyDescent="0.25">
      <c r="A113" s="75">
        <f>'[1]Ввод данных'!A100</f>
        <v>0</v>
      </c>
      <c r="B113" s="75"/>
      <c r="C113" s="57">
        <f>'[1]Ввод данных'!B100</f>
        <v>0</v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75" t="str">
        <f>CONCATENATE('[1]Ввод данных'!F100," ",'[1]Ввод данных'!G100)</f>
        <v xml:space="preserve"> </v>
      </c>
      <c r="Z113" s="75"/>
      <c r="AA113" s="75"/>
      <c r="AB113" s="75"/>
      <c r="AC113" s="76">
        <f>'[1]Ввод данных'!I100</f>
        <v>0</v>
      </c>
      <c r="AD113" s="76"/>
      <c r="AE113" s="76"/>
      <c r="AF113" s="76"/>
      <c r="AG113" s="76">
        <f>'[1]Ввод данных'!J100</f>
        <v>0</v>
      </c>
      <c r="AH113" s="76"/>
      <c r="AI113" s="76"/>
      <c r="AJ113" s="76"/>
    </row>
    <row r="114" spans="1:36" hidden="1" x14ac:dyDescent="0.25">
      <c r="A114" s="75">
        <f>'[1]Ввод данных'!A101</f>
        <v>0</v>
      </c>
      <c r="B114" s="75"/>
      <c r="C114" s="57">
        <f>'[1]Ввод данных'!B101</f>
        <v>0</v>
      </c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75" t="str">
        <f>CONCATENATE('[1]Ввод данных'!F101," ",'[1]Ввод данных'!G101)</f>
        <v xml:space="preserve"> </v>
      </c>
      <c r="Z114" s="75"/>
      <c r="AA114" s="75"/>
      <c r="AB114" s="75"/>
      <c r="AC114" s="76">
        <f>'[1]Ввод данных'!I101</f>
        <v>0</v>
      </c>
      <c r="AD114" s="76"/>
      <c r="AE114" s="76"/>
      <c r="AF114" s="76"/>
      <c r="AG114" s="76">
        <f>'[1]Ввод данных'!J101</f>
        <v>0</v>
      </c>
      <c r="AH114" s="76"/>
      <c r="AI114" s="76"/>
      <c r="AJ114" s="76"/>
    </row>
    <row r="115" spans="1:36" hidden="1" x14ac:dyDescent="0.25">
      <c r="A115" s="75">
        <f>'[1]Ввод данных'!A102</f>
        <v>0</v>
      </c>
      <c r="B115" s="75"/>
      <c r="C115" s="57">
        <f>'[1]Ввод данных'!B102</f>
        <v>0</v>
      </c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75" t="str">
        <f>CONCATENATE('[1]Ввод данных'!F102," ",'[1]Ввод данных'!G102)</f>
        <v xml:space="preserve"> </v>
      </c>
      <c r="Z115" s="75"/>
      <c r="AA115" s="75"/>
      <c r="AB115" s="75"/>
      <c r="AC115" s="76">
        <f>'[1]Ввод данных'!I102</f>
        <v>0</v>
      </c>
      <c r="AD115" s="76"/>
      <c r="AE115" s="76"/>
      <c r="AF115" s="76"/>
      <c r="AG115" s="76">
        <f>'[1]Ввод данных'!J102</f>
        <v>0</v>
      </c>
      <c r="AH115" s="76"/>
      <c r="AI115" s="76"/>
      <c r="AJ115" s="76"/>
    </row>
    <row r="116" spans="1:36" ht="0.6" customHeight="1" x14ac:dyDescent="0.25">
      <c r="A116" s="75">
        <f>'[1]Ввод данных'!A103</f>
        <v>0</v>
      </c>
      <c r="B116" s="75"/>
      <c r="C116" s="57">
        <f>'[1]Ввод данных'!B103</f>
        <v>0</v>
      </c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75" t="str">
        <f>CONCATENATE('[1]Ввод данных'!F103," ",'[1]Ввод данных'!G103)</f>
        <v xml:space="preserve"> </v>
      </c>
      <c r="Z116" s="75"/>
      <c r="AA116" s="75"/>
      <c r="AB116" s="75"/>
      <c r="AC116" s="76">
        <f>'[1]Ввод данных'!I103</f>
        <v>0</v>
      </c>
      <c r="AD116" s="76"/>
      <c r="AE116" s="76"/>
      <c r="AF116" s="76"/>
      <c r="AG116" s="76">
        <v>1</v>
      </c>
      <c r="AH116" s="76"/>
      <c r="AI116" s="76"/>
      <c r="AJ116" s="76"/>
    </row>
    <row r="117" spans="1:36" x14ac:dyDescent="0.25">
      <c r="A117" s="85" t="s">
        <v>37</v>
      </c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6">
        <f>AG18</f>
        <v>75166</v>
      </c>
      <c r="AH117" s="86"/>
      <c r="AI117" s="86"/>
      <c r="AJ117" s="86"/>
    </row>
    <row r="118" spans="1:36" x14ac:dyDescent="0.25">
      <c r="A118" s="17" t="s">
        <v>38</v>
      </c>
      <c r="L118" s="77"/>
      <c r="M118" s="77"/>
      <c r="N118" s="17" t="s">
        <v>39</v>
      </c>
    </row>
    <row r="119" spans="1:36" x14ac:dyDescent="0.25">
      <c r="A119" s="17"/>
      <c r="L119" s="21"/>
      <c r="M119" s="21"/>
      <c r="N119" s="17"/>
    </row>
    <row r="120" spans="1:36" x14ac:dyDescent="0.25">
      <c r="A120" s="17" t="s">
        <v>40</v>
      </c>
      <c r="L120" s="78" t="str">
        <f>'Исходные данные'!B3</f>
        <v>Кафедра "Наименование кафедры"</v>
      </c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</row>
    <row r="121" spans="1:36" ht="16.5" thickBot="1" x14ac:dyDescent="0.3">
      <c r="A121" s="17" t="s">
        <v>41</v>
      </c>
    </row>
    <row r="122" spans="1:36" x14ac:dyDescent="0.25">
      <c r="A122" s="79" t="s">
        <v>42</v>
      </c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1" t="s">
        <v>43</v>
      </c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</row>
    <row r="123" spans="1:36" x14ac:dyDescent="0.25">
      <c r="A123" s="82" t="s">
        <v>44</v>
      </c>
      <c r="B123" s="57"/>
      <c r="C123" s="57"/>
      <c r="D123" s="57"/>
      <c r="E123" s="57"/>
      <c r="F123" s="57"/>
      <c r="G123" s="57"/>
      <c r="H123" s="83" t="str">
        <f>'Исходные данные'!B6</f>
        <v>Верещагин С.Б.</v>
      </c>
      <c r="I123" s="83"/>
      <c r="J123" s="83"/>
      <c r="K123" s="83"/>
      <c r="L123" s="83"/>
      <c r="M123" s="83"/>
      <c r="N123" s="83"/>
      <c r="O123" s="83"/>
      <c r="P123" s="83"/>
      <c r="Q123" s="83"/>
      <c r="R123" s="84"/>
      <c r="S123" s="57" t="s">
        <v>44</v>
      </c>
      <c r="T123" s="57"/>
      <c r="U123" s="57"/>
      <c r="V123" s="57"/>
      <c r="W123" s="57"/>
      <c r="X123" s="57"/>
      <c r="Y123" s="57"/>
      <c r="Z123" s="83" t="str">
        <f>'Исходные данные'!B6</f>
        <v>Верещагин С.Б.</v>
      </c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</row>
    <row r="124" spans="1:36" x14ac:dyDescent="0.25">
      <c r="A124" s="82" t="s">
        <v>45</v>
      </c>
      <c r="B124" s="57"/>
      <c r="C124" s="57"/>
      <c r="D124" s="57"/>
      <c r="E124" s="57"/>
      <c r="F124" s="57"/>
      <c r="G124" s="57"/>
      <c r="H124" s="84" t="s">
        <v>104</v>
      </c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57" t="s">
        <v>45</v>
      </c>
      <c r="T124" s="57"/>
      <c r="U124" s="57"/>
      <c r="V124" s="57"/>
      <c r="W124" s="57"/>
      <c r="X124" s="57"/>
      <c r="Y124" s="57"/>
      <c r="Z124" s="83" t="s">
        <v>104</v>
      </c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</row>
    <row r="125" spans="1:36" x14ac:dyDescent="0.25">
      <c r="A125" s="82" t="s">
        <v>46</v>
      </c>
      <c r="B125" s="57"/>
      <c r="C125" s="57"/>
      <c r="D125" s="57"/>
      <c r="E125" s="57"/>
      <c r="F125" s="57"/>
      <c r="G125" s="57"/>
      <c r="H125" s="83" t="str">
        <f>'Исходные данные'!B7</f>
        <v>8(499)155-08-20</v>
      </c>
      <c r="I125" s="83"/>
      <c r="J125" s="83"/>
      <c r="K125" s="83"/>
      <c r="L125" s="83"/>
      <c r="M125" s="83"/>
      <c r="N125" s="83"/>
      <c r="O125" s="83"/>
      <c r="P125" s="83"/>
      <c r="Q125" s="83"/>
      <c r="R125" s="84"/>
      <c r="S125" s="57" t="s">
        <v>46</v>
      </c>
      <c r="T125" s="57"/>
      <c r="U125" s="57"/>
      <c r="V125" s="57"/>
      <c r="W125" s="57"/>
      <c r="X125" s="57"/>
      <c r="Y125" s="57"/>
      <c r="Z125" s="83" t="str">
        <f>'Исходные данные'!B7</f>
        <v>8(499)155-08-20</v>
      </c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</row>
    <row r="126" spans="1:36" x14ac:dyDescent="0.25">
      <c r="A126" s="82" t="s">
        <v>47</v>
      </c>
      <c r="B126" s="57"/>
      <c r="C126" s="57"/>
      <c r="D126" s="57"/>
      <c r="E126" s="57"/>
      <c r="F126" s="57"/>
      <c r="G126" s="57"/>
      <c r="H126" s="95" t="str">
        <f>'Исходные данные'!B8</f>
        <v>tws@madi.ru</v>
      </c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57" t="s">
        <v>47</v>
      </c>
      <c r="T126" s="57"/>
      <c r="U126" s="57"/>
      <c r="V126" s="57"/>
      <c r="W126" s="57"/>
      <c r="X126" s="57"/>
      <c r="Y126" s="57"/>
      <c r="Z126" s="87" t="str">
        <f>'Исходные данные'!B8</f>
        <v>tws@madi.ru</v>
      </c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</row>
    <row r="127" spans="1:36" ht="16.5" thickBot="1" x14ac:dyDescent="0.3">
      <c r="A127" s="89" t="s">
        <v>48</v>
      </c>
      <c r="B127" s="90"/>
      <c r="C127" s="90"/>
      <c r="D127" s="90"/>
      <c r="E127" s="90"/>
      <c r="F127" s="90"/>
      <c r="G127" s="90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2"/>
      <c r="S127" s="57" t="s">
        <v>48</v>
      </c>
      <c r="T127" s="57"/>
      <c r="U127" s="57"/>
      <c r="V127" s="57"/>
      <c r="W127" s="57"/>
      <c r="X127" s="57"/>
      <c r="Y127" s="57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</row>
    <row r="128" spans="1:36" x14ac:dyDescent="0.25"/>
    <row r="129" spans="1:36" ht="15.75" customHeight="1" x14ac:dyDescent="0.25">
      <c r="A129" s="17" t="s">
        <v>49</v>
      </c>
      <c r="B129" s="17"/>
      <c r="C129" s="17"/>
      <c r="D129" s="17"/>
      <c r="E129" s="17"/>
      <c r="F129" s="17"/>
      <c r="G129" s="17"/>
      <c r="H129" s="17"/>
      <c r="I129" s="77" t="str">
        <f>'Исходные данные'!B6</f>
        <v>Верещагин С.Б.</v>
      </c>
      <c r="J129" s="77"/>
      <c r="K129" s="77"/>
      <c r="L129" s="77"/>
      <c r="M129" s="77"/>
      <c r="N129" s="77"/>
      <c r="O129" s="77"/>
      <c r="P129" s="77"/>
      <c r="R129" s="77"/>
      <c r="S129" s="77"/>
      <c r="T129" s="77"/>
      <c r="U129" s="77"/>
      <c r="V129" s="77"/>
      <c r="W129" s="77"/>
      <c r="X129" s="77"/>
      <c r="Y129" s="77"/>
      <c r="AA129" s="14" t="s">
        <v>50</v>
      </c>
    </row>
    <row r="130" spans="1:36" x14ac:dyDescent="0.25">
      <c r="A130" s="22" t="s">
        <v>51</v>
      </c>
      <c r="I130" s="94" t="s">
        <v>52</v>
      </c>
      <c r="J130" s="94"/>
      <c r="K130" s="94"/>
      <c r="L130" s="94"/>
      <c r="M130" s="94"/>
      <c r="N130" s="94"/>
      <c r="O130" s="94"/>
      <c r="P130" s="94"/>
      <c r="R130" s="94" t="s">
        <v>53</v>
      </c>
      <c r="S130" s="94"/>
      <c r="T130" s="94"/>
      <c r="U130" s="94"/>
      <c r="V130" s="94"/>
      <c r="W130" s="94"/>
      <c r="X130" s="94"/>
      <c r="Y130" s="94"/>
    </row>
    <row r="131" spans="1:36" x14ac:dyDescent="0.25">
      <c r="A131" s="22"/>
      <c r="I131" s="23"/>
      <c r="J131" s="23"/>
      <c r="K131" s="23"/>
      <c r="L131" s="23"/>
      <c r="M131" s="23"/>
      <c r="N131" s="23"/>
      <c r="O131" s="23"/>
      <c r="P131" s="23"/>
      <c r="R131" s="23"/>
      <c r="S131" s="23"/>
      <c r="T131" s="23"/>
      <c r="U131" s="23"/>
      <c r="V131" s="23"/>
      <c r="W131" s="23"/>
      <c r="X131" s="23"/>
      <c r="Y131" s="23"/>
    </row>
    <row r="132" spans="1:36" s="17" customFormat="1" ht="15" customHeight="1" x14ac:dyDescent="0.25">
      <c r="A132" s="17" t="s">
        <v>54</v>
      </c>
      <c r="I132" s="77" t="s">
        <v>14</v>
      </c>
      <c r="J132" s="77"/>
      <c r="K132" s="77"/>
      <c r="L132" s="77"/>
      <c r="M132" s="77"/>
      <c r="N132" s="77"/>
      <c r="O132" s="77"/>
      <c r="P132" s="77"/>
      <c r="Q132" s="14"/>
      <c r="R132" s="77"/>
      <c r="S132" s="77"/>
      <c r="T132" s="77"/>
      <c r="U132" s="77"/>
      <c r="V132" s="77"/>
      <c r="W132" s="77"/>
      <c r="X132" s="77"/>
      <c r="Y132" s="77"/>
      <c r="Z132" s="14"/>
      <c r="AA132" s="14" t="s">
        <v>50</v>
      </c>
      <c r="AB132" s="14"/>
      <c r="AC132" s="14"/>
      <c r="AD132" s="14"/>
      <c r="AE132" s="14"/>
    </row>
    <row r="133" spans="1:36" x14ac:dyDescent="0.25">
      <c r="A133" s="20"/>
      <c r="I133" s="94" t="s">
        <v>52</v>
      </c>
      <c r="J133" s="94"/>
      <c r="K133" s="94"/>
      <c r="L133" s="94"/>
      <c r="M133" s="94"/>
      <c r="N133" s="94"/>
      <c r="O133" s="94"/>
      <c r="P133" s="94"/>
      <c r="R133" s="94" t="s">
        <v>53</v>
      </c>
      <c r="S133" s="94"/>
      <c r="T133" s="94"/>
      <c r="U133" s="94"/>
      <c r="V133" s="94"/>
      <c r="W133" s="94"/>
      <c r="X133" s="94"/>
      <c r="Y133" s="94"/>
    </row>
    <row r="134" spans="1:36" x14ac:dyDescent="0.25">
      <c r="A134" s="20"/>
      <c r="I134" s="23"/>
      <c r="J134" s="23"/>
      <c r="K134" s="23"/>
      <c r="L134" s="23"/>
      <c r="M134" s="23"/>
      <c r="N134" s="23"/>
      <c r="O134" s="23"/>
      <c r="P134" s="23"/>
      <c r="R134" s="23"/>
      <c r="S134" s="23"/>
      <c r="T134" s="23"/>
      <c r="U134" s="23"/>
      <c r="V134" s="23"/>
      <c r="W134" s="23"/>
      <c r="X134" s="23"/>
      <c r="Y134" s="23"/>
    </row>
    <row r="135" spans="1:36" ht="16.5" thickBot="1" x14ac:dyDescent="0.3">
      <c r="A135" s="17" t="s">
        <v>55</v>
      </c>
    </row>
    <row r="136" spans="1:36" x14ac:dyDescent="0.25">
      <c r="A136" s="104" t="s">
        <v>56</v>
      </c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4" t="s">
        <v>57</v>
      </c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6"/>
    </row>
    <row r="137" spans="1:36" ht="16.5" thickBot="1" x14ac:dyDescent="0.3">
      <c r="A137" s="97" t="s">
        <v>58</v>
      </c>
      <c r="B137" s="98"/>
      <c r="C137" s="107"/>
      <c r="D137" s="92"/>
      <c r="E137" s="98"/>
      <c r="F137" s="107"/>
      <c r="G137" s="92" t="s">
        <v>59</v>
      </c>
      <c r="H137" s="98"/>
      <c r="I137" s="107"/>
      <c r="J137" s="92"/>
      <c r="K137" s="98"/>
      <c r="L137" s="107"/>
      <c r="M137" s="92" t="s">
        <v>60</v>
      </c>
      <c r="N137" s="98"/>
      <c r="O137" s="107"/>
      <c r="P137" s="92"/>
      <c r="Q137" s="98"/>
      <c r="R137" s="98"/>
      <c r="S137" s="97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9"/>
    </row>
    <row r="138" spans="1:36" ht="16.5" thickBot="1" x14ac:dyDescent="0.3">
      <c r="S138" s="100" t="s">
        <v>61</v>
      </c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</row>
    <row r="139" spans="1:36" ht="16.5" thickBot="1" x14ac:dyDescent="0.3">
      <c r="A139" s="101" t="s">
        <v>62</v>
      </c>
      <c r="B139" s="102"/>
      <c r="C139" s="102"/>
      <c r="D139" s="102"/>
      <c r="E139" s="102"/>
      <c r="F139" s="102"/>
      <c r="G139" s="102"/>
      <c r="H139" s="102"/>
      <c r="I139" s="102" t="s">
        <v>63</v>
      </c>
      <c r="J139" s="102"/>
      <c r="K139" s="102"/>
      <c r="L139" s="102"/>
      <c r="M139" s="102"/>
      <c r="N139" s="102"/>
      <c r="O139" s="102"/>
      <c r="P139" s="102"/>
      <c r="Q139" s="102" t="s">
        <v>64</v>
      </c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3"/>
    </row>
    <row r="140" spans="1:36" x14ac:dyDescent="0.25"/>
    <row r="141" spans="1:36" x14ac:dyDescent="0.25">
      <c r="A141" s="24" t="s">
        <v>65</v>
      </c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D141" s="14" t="s">
        <v>50</v>
      </c>
    </row>
    <row r="142" spans="1:36" x14ac:dyDescent="0.25"/>
    <row r="143" spans="1:36" x14ac:dyDescent="0.25">
      <c r="A143" s="17" t="s">
        <v>66</v>
      </c>
    </row>
    <row r="144" spans="1:36" ht="16.5" thickBot="1" x14ac:dyDescent="0.3"/>
    <row r="145" spans="1:36" ht="16.5" thickBot="1" x14ac:dyDescent="0.3">
      <c r="A145" s="108" t="s">
        <v>67</v>
      </c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10"/>
      <c r="M145" s="108" t="s">
        <v>68</v>
      </c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11"/>
      <c r="Y145" s="108" t="s">
        <v>69</v>
      </c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1"/>
    </row>
    <row r="146" spans="1:36" ht="16.5" thickBot="1" x14ac:dyDescent="0.3">
      <c r="A146" s="112" t="s">
        <v>70</v>
      </c>
      <c r="B146" s="113"/>
      <c r="C146" s="113"/>
      <c r="D146" s="113"/>
      <c r="E146" s="113"/>
      <c r="F146" s="114"/>
      <c r="G146" s="115" t="s">
        <v>71</v>
      </c>
      <c r="H146" s="113"/>
      <c r="I146" s="113"/>
      <c r="J146" s="113"/>
      <c r="K146" s="113"/>
      <c r="L146" s="113"/>
      <c r="M146" s="116" t="s">
        <v>72</v>
      </c>
      <c r="N146" s="117"/>
      <c r="O146" s="117"/>
      <c r="P146" s="117"/>
      <c r="Q146" s="117"/>
      <c r="R146" s="117"/>
      <c r="S146" s="117"/>
      <c r="T146" s="117"/>
      <c r="U146" s="117"/>
      <c r="V146" s="117"/>
      <c r="W146" s="118"/>
      <c r="X146" s="119"/>
      <c r="Y146" s="120" t="s">
        <v>73</v>
      </c>
      <c r="Z146" s="121"/>
      <c r="AA146" s="121"/>
      <c r="AB146" s="121"/>
      <c r="AC146" s="121"/>
      <c r="AD146" s="121"/>
      <c r="AE146" s="121"/>
      <c r="AF146" s="121"/>
      <c r="AG146" s="122"/>
      <c r="AH146" s="118"/>
      <c r="AI146" s="118"/>
      <c r="AJ146" s="119"/>
    </row>
    <row r="147" spans="1:36" x14ac:dyDescent="0.25">
      <c r="M147" s="82" t="s">
        <v>74</v>
      </c>
      <c r="N147" s="57"/>
      <c r="O147" s="57"/>
      <c r="P147" s="57"/>
      <c r="Q147" s="57"/>
      <c r="R147" s="57"/>
      <c r="S147" s="57"/>
      <c r="T147" s="57"/>
      <c r="U147" s="57"/>
      <c r="V147" s="57"/>
      <c r="W147" s="81"/>
      <c r="X147" s="123"/>
      <c r="Y147" s="124" t="s">
        <v>75</v>
      </c>
      <c r="Z147" s="125"/>
      <c r="AA147" s="125"/>
      <c r="AB147" s="125"/>
      <c r="AC147" s="125"/>
      <c r="AD147" s="125"/>
      <c r="AE147" s="125"/>
      <c r="AF147" s="125"/>
      <c r="AG147" s="126"/>
      <c r="AH147" s="81"/>
      <c r="AI147" s="81"/>
      <c r="AJ147" s="123"/>
    </row>
    <row r="148" spans="1:36" x14ac:dyDescent="0.25">
      <c r="M148" s="82" t="s">
        <v>76</v>
      </c>
      <c r="N148" s="57"/>
      <c r="O148" s="57"/>
      <c r="P148" s="57"/>
      <c r="Q148" s="57"/>
      <c r="R148" s="57"/>
      <c r="S148" s="57"/>
      <c r="T148" s="57"/>
      <c r="U148" s="57"/>
      <c r="V148" s="57"/>
      <c r="W148" s="81"/>
      <c r="X148" s="123"/>
      <c r="Y148" s="124" t="s">
        <v>77</v>
      </c>
      <c r="Z148" s="125"/>
      <c r="AA148" s="125"/>
      <c r="AB148" s="125"/>
      <c r="AC148" s="125"/>
      <c r="AD148" s="125"/>
      <c r="AE148" s="125"/>
      <c r="AF148" s="125"/>
      <c r="AG148" s="126"/>
      <c r="AH148" s="81"/>
      <c r="AI148" s="81"/>
      <c r="AJ148" s="123"/>
    </row>
    <row r="149" spans="1:36" x14ac:dyDescent="0.25">
      <c r="M149" s="82" t="s">
        <v>78</v>
      </c>
      <c r="N149" s="57"/>
      <c r="O149" s="57"/>
      <c r="P149" s="57"/>
      <c r="Q149" s="57"/>
      <c r="R149" s="57"/>
      <c r="S149" s="57"/>
      <c r="T149" s="57"/>
      <c r="U149" s="57"/>
      <c r="V149" s="57"/>
      <c r="W149" s="81"/>
      <c r="X149" s="123"/>
      <c r="Y149" s="124" t="s">
        <v>79</v>
      </c>
      <c r="Z149" s="125"/>
      <c r="AA149" s="125"/>
      <c r="AB149" s="125"/>
      <c r="AC149" s="125"/>
      <c r="AD149" s="125"/>
      <c r="AE149" s="125"/>
      <c r="AF149" s="125"/>
      <c r="AG149" s="126"/>
      <c r="AH149" s="81"/>
      <c r="AI149" s="81"/>
      <c r="AJ149" s="123"/>
    </row>
    <row r="150" spans="1:36" x14ac:dyDescent="0.25">
      <c r="M150" s="82" t="s">
        <v>80</v>
      </c>
      <c r="N150" s="57"/>
      <c r="O150" s="57"/>
      <c r="P150" s="57"/>
      <c r="Q150" s="57"/>
      <c r="R150" s="57"/>
      <c r="S150" s="57"/>
      <c r="T150" s="57"/>
      <c r="U150" s="57"/>
      <c r="V150" s="57"/>
      <c r="W150" s="81"/>
      <c r="X150" s="123"/>
      <c r="Y150" s="124" t="s">
        <v>81</v>
      </c>
      <c r="Z150" s="125"/>
      <c r="AA150" s="125"/>
      <c r="AB150" s="125"/>
      <c r="AC150" s="125"/>
      <c r="AD150" s="125"/>
      <c r="AE150" s="125"/>
      <c r="AF150" s="125"/>
      <c r="AG150" s="126"/>
      <c r="AH150" s="81"/>
      <c r="AI150" s="81"/>
      <c r="AJ150" s="123"/>
    </row>
    <row r="151" spans="1:36" ht="15" customHeight="1" x14ac:dyDescent="0.25">
      <c r="M151" s="82" t="s">
        <v>82</v>
      </c>
      <c r="N151" s="57"/>
      <c r="O151" s="57"/>
      <c r="P151" s="57"/>
      <c r="Q151" s="57"/>
      <c r="R151" s="57"/>
      <c r="S151" s="57"/>
      <c r="T151" s="57"/>
      <c r="U151" s="57"/>
      <c r="V151" s="57"/>
      <c r="W151" s="81"/>
      <c r="X151" s="123"/>
      <c r="Y151" s="124" t="s">
        <v>83</v>
      </c>
      <c r="Z151" s="125"/>
      <c r="AA151" s="125"/>
      <c r="AB151" s="125"/>
      <c r="AC151" s="125"/>
      <c r="AD151" s="125"/>
      <c r="AE151" s="125"/>
      <c r="AF151" s="125"/>
      <c r="AG151" s="126"/>
      <c r="AH151" s="81"/>
      <c r="AI151" s="81"/>
      <c r="AJ151" s="123"/>
    </row>
    <row r="152" spans="1:36" ht="15" customHeight="1" x14ac:dyDescent="0.25">
      <c r="M152" s="82"/>
      <c r="N152" s="57"/>
      <c r="O152" s="57"/>
      <c r="P152" s="57"/>
      <c r="Q152" s="57"/>
      <c r="R152" s="57"/>
      <c r="S152" s="57"/>
      <c r="T152" s="57"/>
      <c r="U152" s="57"/>
      <c r="V152" s="57"/>
      <c r="W152" s="81"/>
      <c r="X152" s="123"/>
      <c r="Y152" s="82" t="s">
        <v>84</v>
      </c>
      <c r="Z152" s="57"/>
      <c r="AA152" s="57"/>
      <c r="AB152" s="57"/>
      <c r="AC152" s="57"/>
      <c r="AD152" s="57"/>
      <c r="AE152" s="57"/>
      <c r="AF152" s="57"/>
      <c r="AG152" s="57"/>
      <c r="AH152" s="81"/>
      <c r="AI152" s="81"/>
      <c r="AJ152" s="123"/>
    </row>
    <row r="153" spans="1:36" ht="15" customHeight="1" x14ac:dyDescent="0.25">
      <c r="M153" s="82" t="s">
        <v>85</v>
      </c>
      <c r="N153" s="57"/>
      <c r="O153" s="57"/>
      <c r="P153" s="57"/>
      <c r="Q153" s="57"/>
      <c r="R153" s="57"/>
      <c r="S153" s="57"/>
      <c r="T153" s="57"/>
      <c r="U153" s="57"/>
      <c r="V153" s="57"/>
      <c r="W153" s="81"/>
      <c r="X153" s="123"/>
      <c r="Y153" s="82"/>
      <c r="Z153" s="57"/>
      <c r="AA153" s="57"/>
      <c r="AB153" s="57"/>
      <c r="AC153" s="57"/>
      <c r="AD153" s="57"/>
      <c r="AE153" s="57"/>
      <c r="AF153" s="57"/>
      <c r="AG153" s="57"/>
      <c r="AH153" s="81"/>
      <c r="AI153" s="81"/>
      <c r="AJ153" s="123"/>
    </row>
    <row r="154" spans="1:36" ht="16.5" thickBot="1" x14ac:dyDescent="0.3">
      <c r="M154" s="89"/>
      <c r="N154" s="90"/>
      <c r="O154" s="90"/>
      <c r="P154" s="90"/>
      <c r="Q154" s="90"/>
      <c r="R154" s="90"/>
      <c r="S154" s="90"/>
      <c r="T154" s="90"/>
      <c r="U154" s="90"/>
      <c r="V154" s="90"/>
      <c r="W154" s="91"/>
      <c r="X154" s="127"/>
      <c r="Y154" s="89"/>
      <c r="Z154" s="90"/>
      <c r="AA154" s="90"/>
      <c r="AB154" s="90"/>
      <c r="AC154" s="90"/>
      <c r="AD154" s="90"/>
      <c r="AE154" s="90"/>
      <c r="AF154" s="90"/>
      <c r="AG154" s="90"/>
      <c r="AH154" s="91"/>
      <c r="AI154" s="91"/>
      <c r="AJ154" s="127"/>
    </row>
    <row r="155" spans="1:36" x14ac:dyDescent="0.25"/>
    <row r="156" spans="1:36" x14ac:dyDescent="0.25">
      <c r="A156" s="17" t="s">
        <v>86</v>
      </c>
    </row>
    <row r="157" spans="1:36" x14ac:dyDescent="0.25">
      <c r="A157" s="25"/>
      <c r="B157" s="25"/>
      <c r="C157" s="26">
        <v>1</v>
      </c>
      <c r="D157" s="26">
        <v>7</v>
      </c>
      <c r="E157" s="26">
        <v>7</v>
      </c>
      <c r="F157" s="26">
        <v>1</v>
      </c>
      <c r="G157" s="26">
        <v>4</v>
      </c>
      <c r="H157" s="26">
        <v>0</v>
      </c>
      <c r="I157" s="26">
        <v>2</v>
      </c>
      <c r="J157" s="26">
        <v>9</v>
      </c>
      <c r="K157" s="26">
        <v>6</v>
      </c>
      <c r="L157" s="26">
        <v>0</v>
      </c>
      <c r="M157" s="26">
        <v>0</v>
      </c>
      <c r="N157" s="26">
        <v>7</v>
      </c>
      <c r="O157" s="26">
        <v>7</v>
      </c>
      <c r="P157" s="26">
        <v>1</v>
      </c>
      <c r="Q157" s="26">
        <v>4</v>
      </c>
      <c r="R157" s="26">
        <v>0</v>
      </c>
      <c r="S157" s="26">
        <v>1</v>
      </c>
      <c r="T157" s="26">
        <v>0</v>
      </c>
      <c r="U157" s="26">
        <v>0</v>
      </c>
      <c r="V157" s="26">
        <v>1</v>
      </c>
      <c r="W157" s="26"/>
      <c r="X157" s="26"/>
      <c r="Y157" s="26"/>
      <c r="Z157" s="26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</row>
    <row r="158" spans="1:36" x14ac:dyDescent="0.25">
      <c r="A158" s="72" t="s">
        <v>87</v>
      </c>
      <c r="B158" s="72"/>
      <c r="C158" s="72" t="s">
        <v>88</v>
      </c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 t="s">
        <v>89</v>
      </c>
      <c r="X158" s="72"/>
      <c r="Y158" s="72"/>
      <c r="Z158" s="72"/>
      <c r="AA158" s="72" t="s">
        <v>90</v>
      </c>
      <c r="AB158" s="72"/>
      <c r="AC158" s="72"/>
      <c r="AD158" s="72" t="s">
        <v>91</v>
      </c>
      <c r="AE158" s="72"/>
      <c r="AF158" s="72"/>
      <c r="AG158" s="72"/>
      <c r="AH158" s="72" t="s">
        <v>59</v>
      </c>
      <c r="AI158" s="72"/>
      <c r="AJ158" s="72"/>
    </row>
    <row r="159" spans="1:36" x14ac:dyDescent="0.25"/>
    <row r="160" spans="1:36" ht="15.75" customHeight="1" x14ac:dyDescent="0.25">
      <c r="A160" s="17" t="s">
        <v>92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28"/>
      <c r="M160" s="128"/>
      <c r="N160" s="128"/>
      <c r="O160" s="128"/>
      <c r="P160" s="128"/>
      <c r="Q160" s="128"/>
      <c r="R160" s="128"/>
      <c r="S160" s="17"/>
      <c r="T160" s="27"/>
      <c r="U160" s="27"/>
      <c r="V160" s="27"/>
      <c r="W160" s="27"/>
      <c r="X160" s="27"/>
      <c r="Y160" s="27"/>
      <c r="Z160" s="19"/>
      <c r="AA160" s="19"/>
      <c r="AB160" s="19"/>
      <c r="AD160" s="14" t="s">
        <v>50</v>
      </c>
    </row>
    <row r="161" spans="12:28" x14ac:dyDescent="0.25">
      <c r="L161" s="129" t="s">
        <v>52</v>
      </c>
      <c r="M161" s="129"/>
      <c r="N161" s="129"/>
      <c r="O161" s="129"/>
      <c r="P161" s="129"/>
      <c r="Q161" s="129"/>
      <c r="R161" s="129"/>
      <c r="T161" s="129" t="s">
        <v>53</v>
      </c>
      <c r="U161" s="129"/>
      <c r="V161" s="129"/>
      <c r="W161" s="129"/>
      <c r="X161" s="129"/>
      <c r="Y161" s="129"/>
      <c r="Z161" s="129"/>
      <c r="AA161" s="129"/>
      <c r="AB161" s="129"/>
    </row>
    <row r="162" spans="12:28" x14ac:dyDescent="0.25"/>
    <row r="163" spans="12:28" x14ac:dyDescent="0.25"/>
  </sheetData>
  <sheetProtection formatCells="0" formatColumns="0" formatRows="0" insertColumns="0" insertRows="0" insertHyperlinks="0" deleteColumns="0" deleteRows="0"/>
  <mergeCells count="611">
    <mergeCell ref="L160:R160"/>
    <mergeCell ref="L161:R161"/>
    <mergeCell ref="T161:AB161"/>
    <mergeCell ref="A158:B158"/>
    <mergeCell ref="C158:V158"/>
    <mergeCell ref="W158:Z158"/>
    <mergeCell ref="AA158:AC158"/>
    <mergeCell ref="AD158:AG158"/>
    <mergeCell ref="AH158:AJ158"/>
    <mergeCell ref="M151:V151"/>
    <mergeCell ref="W151:X152"/>
    <mergeCell ref="Y151:AG151"/>
    <mergeCell ref="AH151:AJ151"/>
    <mergeCell ref="M152:V152"/>
    <mergeCell ref="Y152:AG154"/>
    <mergeCell ref="AH152:AJ154"/>
    <mergeCell ref="M153:V153"/>
    <mergeCell ref="W153:X154"/>
    <mergeCell ref="M154:V154"/>
    <mergeCell ref="M149:V149"/>
    <mergeCell ref="W149:X149"/>
    <mergeCell ref="Y149:AG149"/>
    <mergeCell ref="AH149:AJ149"/>
    <mergeCell ref="M150:V150"/>
    <mergeCell ref="W150:X150"/>
    <mergeCell ref="Y150:AG150"/>
    <mergeCell ref="AH150:AJ150"/>
    <mergeCell ref="M147:V147"/>
    <mergeCell ref="W147:X147"/>
    <mergeCell ref="Y147:AG147"/>
    <mergeCell ref="AH147:AJ147"/>
    <mergeCell ref="M148:V148"/>
    <mergeCell ref="W148:X148"/>
    <mergeCell ref="Y148:AG148"/>
    <mergeCell ref="AH148:AJ148"/>
    <mergeCell ref="A145:L145"/>
    <mergeCell ref="M145:X145"/>
    <mergeCell ref="Y145:AJ145"/>
    <mergeCell ref="A146:F146"/>
    <mergeCell ref="G146:L146"/>
    <mergeCell ref="M146:V146"/>
    <mergeCell ref="W146:X146"/>
    <mergeCell ref="Y146:AG146"/>
    <mergeCell ref="AH146:AJ146"/>
    <mergeCell ref="S137:AJ137"/>
    <mergeCell ref="S138:AJ138"/>
    <mergeCell ref="A139:H139"/>
    <mergeCell ref="I139:P139"/>
    <mergeCell ref="Q139:X139"/>
    <mergeCell ref="Y139:AJ139"/>
    <mergeCell ref="I133:P133"/>
    <mergeCell ref="R133:Y133"/>
    <mergeCell ref="A136:R136"/>
    <mergeCell ref="S136:AJ136"/>
    <mergeCell ref="A137:C137"/>
    <mergeCell ref="D137:F137"/>
    <mergeCell ref="G137:I137"/>
    <mergeCell ref="J137:L137"/>
    <mergeCell ref="M137:O137"/>
    <mergeCell ref="P137:R137"/>
    <mergeCell ref="I129:P129"/>
    <mergeCell ref="R129:Y129"/>
    <mergeCell ref="I130:P130"/>
    <mergeCell ref="R130:Y130"/>
    <mergeCell ref="I132:P132"/>
    <mergeCell ref="R132:Y132"/>
    <mergeCell ref="A126:G126"/>
    <mergeCell ref="H126:R126"/>
    <mergeCell ref="S126:Y126"/>
    <mergeCell ref="Z126:AJ126"/>
    <mergeCell ref="A127:G127"/>
    <mergeCell ref="H127:R127"/>
    <mergeCell ref="S127:Y127"/>
    <mergeCell ref="Z127:AJ127"/>
    <mergeCell ref="A124:G124"/>
    <mergeCell ref="H124:R124"/>
    <mergeCell ref="S124:Y124"/>
    <mergeCell ref="Z124:AJ124"/>
    <mergeCell ref="A125:G125"/>
    <mergeCell ref="H125:R125"/>
    <mergeCell ref="S125:Y125"/>
    <mergeCell ref="Z125:AJ125"/>
    <mergeCell ref="L118:M118"/>
    <mergeCell ref="L120:AJ120"/>
    <mergeCell ref="A122:R122"/>
    <mergeCell ref="S122:AJ122"/>
    <mergeCell ref="A123:G123"/>
    <mergeCell ref="H123:R123"/>
    <mergeCell ref="S123:Y123"/>
    <mergeCell ref="Z123:AJ123"/>
    <mergeCell ref="A116:B116"/>
    <mergeCell ref="C116:X116"/>
    <mergeCell ref="Y116:AB116"/>
    <mergeCell ref="AC116:AF116"/>
    <mergeCell ref="AG116:AJ116"/>
    <mergeCell ref="A117:AF117"/>
    <mergeCell ref="AG117:AJ117"/>
    <mergeCell ref="A114:B114"/>
    <mergeCell ref="C114:X114"/>
    <mergeCell ref="Y114:AB114"/>
    <mergeCell ref="AC114:AF114"/>
    <mergeCell ref="AG114:AJ114"/>
    <mergeCell ref="A115:B115"/>
    <mergeCell ref="C115:X115"/>
    <mergeCell ref="Y115:AB115"/>
    <mergeCell ref="AC115:AF115"/>
    <mergeCell ref="AG115:AJ115"/>
    <mergeCell ref="A112:B112"/>
    <mergeCell ref="C112:X112"/>
    <mergeCell ref="Y112:AB112"/>
    <mergeCell ref="AC112:AF112"/>
    <mergeCell ref="AG112:AJ112"/>
    <mergeCell ref="A113:B113"/>
    <mergeCell ref="C113:X113"/>
    <mergeCell ref="Y113:AB113"/>
    <mergeCell ref="AC113:AF113"/>
    <mergeCell ref="AG113:AJ113"/>
    <mergeCell ref="A110:B110"/>
    <mergeCell ref="C110:X110"/>
    <mergeCell ref="Y110:AB110"/>
    <mergeCell ref="AC110:AF110"/>
    <mergeCell ref="AG110:AJ110"/>
    <mergeCell ref="A111:B111"/>
    <mergeCell ref="C111:X111"/>
    <mergeCell ref="Y111:AB111"/>
    <mergeCell ref="AC111:AF111"/>
    <mergeCell ref="AG111:AJ111"/>
    <mergeCell ref="A108:B108"/>
    <mergeCell ref="C108:X108"/>
    <mergeCell ref="Y108:AB108"/>
    <mergeCell ref="AC108:AF108"/>
    <mergeCell ref="AG108:AJ108"/>
    <mergeCell ref="A109:B109"/>
    <mergeCell ref="C109:X109"/>
    <mergeCell ref="Y109:AB109"/>
    <mergeCell ref="AC109:AF109"/>
    <mergeCell ref="AG109:AJ109"/>
    <mergeCell ref="A106:B106"/>
    <mergeCell ref="C106:X106"/>
    <mergeCell ref="Y106:AB106"/>
    <mergeCell ref="AC106:AF106"/>
    <mergeCell ref="AG106:AJ106"/>
    <mergeCell ref="A107:B107"/>
    <mergeCell ref="C107:X107"/>
    <mergeCell ref="Y107:AB107"/>
    <mergeCell ref="AC107:AF107"/>
    <mergeCell ref="AG107:AJ107"/>
    <mergeCell ref="A104:B104"/>
    <mergeCell ref="C104:X104"/>
    <mergeCell ref="Y104:AB104"/>
    <mergeCell ref="AC104:AF104"/>
    <mergeCell ref="AG104:AJ104"/>
    <mergeCell ref="A105:B105"/>
    <mergeCell ref="C105:X105"/>
    <mergeCell ref="Y105:AB105"/>
    <mergeCell ref="AC105:AF105"/>
    <mergeCell ref="AG105:AJ105"/>
    <mergeCell ref="A102:B102"/>
    <mergeCell ref="C102:X102"/>
    <mergeCell ref="Y102:AB102"/>
    <mergeCell ref="AC102:AF102"/>
    <mergeCell ref="AG102:AJ102"/>
    <mergeCell ref="A103:B103"/>
    <mergeCell ref="C103:X103"/>
    <mergeCell ref="Y103:AB103"/>
    <mergeCell ref="AC103:AF103"/>
    <mergeCell ref="AG103:AJ103"/>
    <mergeCell ref="A100:B100"/>
    <mergeCell ref="C100:X100"/>
    <mergeCell ref="Y100:AB100"/>
    <mergeCell ref="AC100:AF100"/>
    <mergeCell ref="AG100:AJ100"/>
    <mergeCell ref="A101:B101"/>
    <mergeCell ref="C101:X101"/>
    <mergeCell ref="Y101:AB101"/>
    <mergeCell ref="AC101:AF101"/>
    <mergeCell ref="AG101:AJ101"/>
    <mergeCell ref="A98:B98"/>
    <mergeCell ref="C98:X98"/>
    <mergeCell ref="Y98:AB98"/>
    <mergeCell ref="AC98:AF98"/>
    <mergeCell ref="AG98:AJ98"/>
    <mergeCell ref="A99:B99"/>
    <mergeCell ref="C99:X99"/>
    <mergeCell ref="Y99:AB99"/>
    <mergeCell ref="AC99:AF99"/>
    <mergeCell ref="AG99:AJ99"/>
    <mergeCell ref="A96:B96"/>
    <mergeCell ref="C96:X96"/>
    <mergeCell ref="Y96:AB96"/>
    <mergeCell ref="AC96:AF96"/>
    <mergeCell ref="AG96:AJ96"/>
    <mergeCell ref="A97:B97"/>
    <mergeCell ref="C97:X97"/>
    <mergeCell ref="Y97:AB97"/>
    <mergeCell ref="AC97:AF97"/>
    <mergeCell ref="AG97:AJ97"/>
    <mergeCell ref="A94:B94"/>
    <mergeCell ref="C94:X94"/>
    <mergeCell ref="Y94:AB94"/>
    <mergeCell ref="AC94:AF94"/>
    <mergeCell ref="AG94:AJ94"/>
    <mergeCell ref="A95:B95"/>
    <mergeCell ref="C95:X95"/>
    <mergeCell ref="Y95:AB95"/>
    <mergeCell ref="AC95:AF95"/>
    <mergeCell ref="AG95:AJ95"/>
    <mergeCell ref="A92:B92"/>
    <mergeCell ref="C92:X92"/>
    <mergeCell ref="Y92:AB92"/>
    <mergeCell ref="AC92:AF92"/>
    <mergeCell ref="AG92:AJ92"/>
    <mergeCell ref="A93:B93"/>
    <mergeCell ref="C93:X93"/>
    <mergeCell ref="Y93:AB93"/>
    <mergeCell ref="AC93:AF93"/>
    <mergeCell ref="AG93:AJ93"/>
    <mergeCell ref="A90:B90"/>
    <mergeCell ref="C90:X90"/>
    <mergeCell ref="Y90:AB90"/>
    <mergeCell ref="AC90:AF90"/>
    <mergeCell ref="AG90:AJ90"/>
    <mergeCell ref="A91:B91"/>
    <mergeCell ref="C91:X91"/>
    <mergeCell ref="Y91:AB91"/>
    <mergeCell ref="AC91:AF91"/>
    <mergeCell ref="AG91:AJ91"/>
    <mergeCell ref="A88:B88"/>
    <mergeCell ref="C88:X88"/>
    <mergeCell ref="Y88:AB88"/>
    <mergeCell ref="AC88:AF88"/>
    <mergeCell ref="AG88:AJ88"/>
    <mergeCell ref="A89:B89"/>
    <mergeCell ref="C89:X89"/>
    <mergeCell ref="Y89:AB89"/>
    <mergeCell ref="AC89:AF89"/>
    <mergeCell ref="AG89:AJ89"/>
    <mergeCell ref="A86:B86"/>
    <mergeCell ref="C86:X86"/>
    <mergeCell ref="Y86:AB86"/>
    <mergeCell ref="AC86:AF86"/>
    <mergeCell ref="AG86:AJ86"/>
    <mergeCell ref="A87:B87"/>
    <mergeCell ref="C87:X87"/>
    <mergeCell ref="Y87:AB87"/>
    <mergeCell ref="AC87:AF87"/>
    <mergeCell ref="AG87:AJ87"/>
    <mergeCell ref="A84:B84"/>
    <mergeCell ref="C84:X84"/>
    <mergeCell ref="Y84:AB84"/>
    <mergeCell ref="AC84:AF84"/>
    <mergeCell ref="AG84:AJ84"/>
    <mergeCell ref="A85:B85"/>
    <mergeCell ref="C85:X85"/>
    <mergeCell ref="Y85:AB85"/>
    <mergeCell ref="AC85:AF85"/>
    <mergeCell ref="AG85:AJ85"/>
    <mergeCell ref="A82:B82"/>
    <mergeCell ref="C82:X82"/>
    <mergeCell ref="Y82:AB82"/>
    <mergeCell ref="AC82:AF82"/>
    <mergeCell ref="AG82:AJ82"/>
    <mergeCell ref="A83:B83"/>
    <mergeCell ref="C83:X83"/>
    <mergeCell ref="Y83:AB83"/>
    <mergeCell ref="AC83:AF83"/>
    <mergeCell ref="AG83:AJ83"/>
    <mergeCell ref="A80:B80"/>
    <mergeCell ref="C80:X80"/>
    <mergeCell ref="Y80:AB80"/>
    <mergeCell ref="AC80:AF80"/>
    <mergeCell ref="AG80:AJ80"/>
    <mergeCell ref="A81:B81"/>
    <mergeCell ref="C81:X81"/>
    <mergeCell ref="Y81:AB81"/>
    <mergeCell ref="AC81:AF81"/>
    <mergeCell ref="AG81:AJ81"/>
    <mergeCell ref="A78:B78"/>
    <mergeCell ref="C78:X78"/>
    <mergeCell ref="Y78:AB78"/>
    <mergeCell ref="AC78:AF78"/>
    <mergeCell ref="AG78:AJ78"/>
    <mergeCell ref="A79:B79"/>
    <mergeCell ref="C79:X79"/>
    <mergeCell ref="Y79:AB79"/>
    <mergeCell ref="AC79:AF79"/>
    <mergeCell ref="AG79:AJ79"/>
    <mergeCell ref="A76:B76"/>
    <mergeCell ref="C76:X76"/>
    <mergeCell ref="Y76:AB76"/>
    <mergeCell ref="AC76:AF76"/>
    <mergeCell ref="AG76:AJ76"/>
    <mergeCell ref="A77:B77"/>
    <mergeCell ref="C77:X77"/>
    <mergeCell ref="Y77:AB77"/>
    <mergeCell ref="AC77:AF77"/>
    <mergeCell ref="AG77:AJ77"/>
    <mergeCell ref="A74:B74"/>
    <mergeCell ref="C74:X74"/>
    <mergeCell ref="Y74:AB74"/>
    <mergeCell ref="AC74:AF74"/>
    <mergeCell ref="AG74:AJ74"/>
    <mergeCell ref="A75:B75"/>
    <mergeCell ref="C75:X75"/>
    <mergeCell ref="Y75:AB75"/>
    <mergeCell ref="AC75:AF75"/>
    <mergeCell ref="AG75:AJ75"/>
    <mergeCell ref="A72:B72"/>
    <mergeCell ref="C72:X72"/>
    <mergeCell ref="Y72:AB72"/>
    <mergeCell ref="AC72:AF72"/>
    <mergeCell ref="AG72:AJ72"/>
    <mergeCell ref="A73:B73"/>
    <mergeCell ref="C73:X73"/>
    <mergeCell ref="Y73:AB73"/>
    <mergeCell ref="AC73:AF73"/>
    <mergeCell ref="AG73:AJ73"/>
    <mergeCell ref="A70:B70"/>
    <mergeCell ref="C70:X70"/>
    <mergeCell ref="Y70:AB70"/>
    <mergeCell ref="AC70:AF70"/>
    <mergeCell ref="AG70:AJ70"/>
    <mergeCell ref="A71:B71"/>
    <mergeCell ref="C71:X71"/>
    <mergeCell ref="Y71:AB71"/>
    <mergeCell ref="AC71:AF71"/>
    <mergeCell ref="AG71:AJ71"/>
    <mergeCell ref="A68:B68"/>
    <mergeCell ref="C68:X68"/>
    <mergeCell ref="Y68:AB68"/>
    <mergeCell ref="AC68:AF68"/>
    <mergeCell ref="AG68:AJ68"/>
    <mergeCell ref="A69:B69"/>
    <mergeCell ref="C69:X69"/>
    <mergeCell ref="Y69:AB69"/>
    <mergeCell ref="AC69:AF69"/>
    <mergeCell ref="AG69:AJ69"/>
    <mergeCell ref="A66:B66"/>
    <mergeCell ref="C66:X66"/>
    <mergeCell ref="Y66:AB66"/>
    <mergeCell ref="AC66:AF66"/>
    <mergeCell ref="AG66:AJ66"/>
    <mergeCell ref="A67:B67"/>
    <mergeCell ref="C67:X67"/>
    <mergeCell ref="Y67:AB67"/>
    <mergeCell ref="AC67:AF67"/>
    <mergeCell ref="AG67:AJ67"/>
    <mergeCell ref="A64:B64"/>
    <mergeCell ref="C64:X64"/>
    <mergeCell ref="Y64:AB64"/>
    <mergeCell ref="AC64:AF64"/>
    <mergeCell ref="AG64:AJ64"/>
    <mergeCell ref="A65:B65"/>
    <mergeCell ref="C65:X65"/>
    <mergeCell ref="Y65:AB65"/>
    <mergeCell ref="AC65:AF65"/>
    <mergeCell ref="AG65:AJ65"/>
    <mergeCell ref="A62:B62"/>
    <mergeCell ref="C62:X62"/>
    <mergeCell ref="Y62:AB62"/>
    <mergeCell ref="AC62:AF62"/>
    <mergeCell ref="AG62:AJ62"/>
    <mergeCell ref="A63:B63"/>
    <mergeCell ref="C63:X63"/>
    <mergeCell ref="Y63:AB63"/>
    <mergeCell ref="AC63:AF63"/>
    <mergeCell ref="AG63:AJ63"/>
    <mergeCell ref="A60:B60"/>
    <mergeCell ref="C60:X60"/>
    <mergeCell ref="Y60:AB60"/>
    <mergeCell ref="AC60:AF60"/>
    <mergeCell ref="AG60:AJ60"/>
    <mergeCell ref="A61:B61"/>
    <mergeCell ref="C61:X61"/>
    <mergeCell ref="Y61:AB61"/>
    <mergeCell ref="AC61:AF61"/>
    <mergeCell ref="AG61:AJ61"/>
    <mergeCell ref="A58:B58"/>
    <mergeCell ref="C58:X58"/>
    <mergeCell ref="Y58:AB58"/>
    <mergeCell ref="AC58:AF58"/>
    <mergeCell ref="AG58:AJ58"/>
    <mergeCell ref="A59:B59"/>
    <mergeCell ref="C59:X59"/>
    <mergeCell ref="Y59:AB59"/>
    <mergeCell ref="AC59:AF59"/>
    <mergeCell ref="AG59:AJ59"/>
    <mergeCell ref="A56:B56"/>
    <mergeCell ref="C56:X56"/>
    <mergeCell ref="Y56:AB56"/>
    <mergeCell ref="AC56:AF56"/>
    <mergeCell ref="AG56:AJ56"/>
    <mergeCell ref="A57:B57"/>
    <mergeCell ref="C57:X57"/>
    <mergeCell ref="Y57:AB57"/>
    <mergeCell ref="AC57:AF57"/>
    <mergeCell ref="AG57:AJ57"/>
    <mergeCell ref="A54:B54"/>
    <mergeCell ref="C54:X54"/>
    <mergeCell ref="Y54:AB54"/>
    <mergeCell ref="AC54:AF54"/>
    <mergeCell ref="AG54:AJ54"/>
    <mergeCell ref="A55:B55"/>
    <mergeCell ref="C55:X55"/>
    <mergeCell ref="Y55:AB55"/>
    <mergeCell ref="AC55:AF55"/>
    <mergeCell ref="AG55:AJ55"/>
    <mergeCell ref="A52:B52"/>
    <mergeCell ref="C52:X52"/>
    <mergeCell ref="Y52:AB52"/>
    <mergeCell ref="AC52:AF52"/>
    <mergeCell ref="AG52:AJ52"/>
    <mergeCell ref="A53:B53"/>
    <mergeCell ref="C53:X53"/>
    <mergeCell ref="Y53:AB53"/>
    <mergeCell ref="AC53:AF53"/>
    <mergeCell ref="AG53:AJ53"/>
    <mergeCell ref="A50:B50"/>
    <mergeCell ref="C50:X50"/>
    <mergeCell ref="Y50:AB50"/>
    <mergeCell ref="AC50:AF50"/>
    <mergeCell ref="AG50:AJ50"/>
    <mergeCell ref="A51:B51"/>
    <mergeCell ref="C51:X51"/>
    <mergeCell ref="Y51:AB51"/>
    <mergeCell ref="AC51:AF51"/>
    <mergeCell ref="AG51:AJ51"/>
    <mergeCell ref="A48:B48"/>
    <mergeCell ref="C48:X48"/>
    <mergeCell ref="Y48:AB48"/>
    <mergeCell ref="AC48:AF48"/>
    <mergeCell ref="AG48:AJ48"/>
    <mergeCell ref="A49:B49"/>
    <mergeCell ref="C49:X49"/>
    <mergeCell ref="Y49:AB49"/>
    <mergeCell ref="AC49:AF49"/>
    <mergeCell ref="AG49:AJ49"/>
    <mergeCell ref="A46:B46"/>
    <mergeCell ref="C46:X46"/>
    <mergeCell ref="Y46:AB46"/>
    <mergeCell ref="AC46:AF46"/>
    <mergeCell ref="AG46:AJ46"/>
    <mergeCell ref="A47:B47"/>
    <mergeCell ref="C47:X47"/>
    <mergeCell ref="Y47:AB47"/>
    <mergeCell ref="AC47:AF47"/>
    <mergeCell ref="AG47:AJ47"/>
    <mergeCell ref="A44:B44"/>
    <mergeCell ref="C44:X44"/>
    <mergeCell ref="Y44:AB44"/>
    <mergeCell ref="AC44:AF44"/>
    <mergeCell ref="AG44:AJ44"/>
    <mergeCell ref="A45:B45"/>
    <mergeCell ref="C45:X45"/>
    <mergeCell ref="Y45:AB45"/>
    <mergeCell ref="AC45:AF45"/>
    <mergeCell ref="AG45:AJ45"/>
    <mergeCell ref="A42:B42"/>
    <mergeCell ref="C42:X42"/>
    <mergeCell ref="Y42:AB42"/>
    <mergeCell ref="AC42:AF42"/>
    <mergeCell ref="AG42:AJ42"/>
    <mergeCell ref="A43:B43"/>
    <mergeCell ref="C43:X43"/>
    <mergeCell ref="Y43:AB43"/>
    <mergeCell ref="AC43:AF43"/>
    <mergeCell ref="AG43:AJ43"/>
    <mergeCell ref="A40:B40"/>
    <mergeCell ref="C40:X40"/>
    <mergeCell ref="Y40:AB40"/>
    <mergeCell ref="AC40:AF40"/>
    <mergeCell ref="AG40:AJ40"/>
    <mergeCell ref="A41:B41"/>
    <mergeCell ref="C41:X41"/>
    <mergeCell ref="Y41:AB41"/>
    <mergeCell ref="AC41:AF41"/>
    <mergeCell ref="AG41:AJ41"/>
    <mergeCell ref="A38:B38"/>
    <mergeCell ref="C38:X38"/>
    <mergeCell ref="Y38:AB38"/>
    <mergeCell ref="AC38:AF38"/>
    <mergeCell ref="AG38:AJ38"/>
    <mergeCell ref="A39:B39"/>
    <mergeCell ref="C39:X39"/>
    <mergeCell ref="Y39:AB39"/>
    <mergeCell ref="AC39:AF39"/>
    <mergeCell ref="AG39:AJ39"/>
    <mergeCell ref="A36:B36"/>
    <mergeCell ref="C36:X36"/>
    <mergeCell ref="Y36:AB36"/>
    <mergeCell ref="AC36:AF36"/>
    <mergeCell ref="AG36:AJ36"/>
    <mergeCell ref="A37:B37"/>
    <mergeCell ref="C37:X37"/>
    <mergeCell ref="Y37:AB37"/>
    <mergeCell ref="AC37:AF37"/>
    <mergeCell ref="AG37:AJ37"/>
    <mergeCell ref="A34:B34"/>
    <mergeCell ref="C34:X34"/>
    <mergeCell ref="Y34:AB34"/>
    <mergeCell ref="AC34:AF34"/>
    <mergeCell ref="AG34:AJ34"/>
    <mergeCell ref="A35:B35"/>
    <mergeCell ref="C35:X35"/>
    <mergeCell ref="Y35:AB35"/>
    <mergeCell ref="AC35:AF35"/>
    <mergeCell ref="AG35:AJ35"/>
    <mergeCell ref="A32:B32"/>
    <mergeCell ref="C32:X32"/>
    <mergeCell ref="Y32:AB32"/>
    <mergeCell ref="AC32:AF32"/>
    <mergeCell ref="AG32:AJ32"/>
    <mergeCell ref="A33:B33"/>
    <mergeCell ref="C33:X33"/>
    <mergeCell ref="Y33:AB33"/>
    <mergeCell ref="AC33:AF33"/>
    <mergeCell ref="AG33:AJ33"/>
    <mergeCell ref="A30:B30"/>
    <mergeCell ref="C30:X30"/>
    <mergeCell ref="Y30:AB30"/>
    <mergeCell ref="AC30:AF30"/>
    <mergeCell ref="AG30:AJ30"/>
    <mergeCell ref="A31:B31"/>
    <mergeCell ref="C31:X31"/>
    <mergeCell ref="Y31:AB31"/>
    <mergeCell ref="AC31:AF31"/>
    <mergeCell ref="AG31:AJ31"/>
    <mergeCell ref="A28:B28"/>
    <mergeCell ref="C28:X28"/>
    <mergeCell ref="Y28:AB28"/>
    <mergeCell ref="AC28:AF28"/>
    <mergeCell ref="AG28:AJ28"/>
    <mergeCell ref="A29:B29"/>
    <mergeCell ref="C29:X29"/>
    <mergeCell ref="Y29:AB29"/>
    <mergeCell ref="AC29:AF29"/>
    <mergeCell ref="AG29:AJ29"/>
    <mergeCell ref="A26:B26"/>
    <mergeCell ref="C26:X26"/>
    <mergeCell ref="Y26:AB26"/>
    <mergeCell ref="AC26:AF26"/>
    <mergeCell ref="AG26:AJ26"/>
    <mergeCell ref="A27:B27"/>
    <mergeCell ref="C27:X27"/>
    <mergeCell ref="Y27:AB27"/>
    <mergeCell ref="AC27:AF27"/>
    <mergeCell ref="AG27:AJ27"/>
    <mergeCell ref="A24:B24"/>
    <mergeCell ref="C24:X24"/>
    <mergeCell ref="Y24:AB24"/>
    <mergeCell ref="AC24:AF24"/>
    <mergeCell ref="AG24:AJ24"/>
    <mergeCell ref="A25:B25"/>
    <mergeCell ref="C25:X25"/>
    <mergeCell ref="Y25:AB25"/>
    <mergeCell ref="AC25:AF25"/>
    <mergeCell ref="AG25:AJ25"/>
    <mergeCell ref="A22:B22"/>
    <mergeCell ref="C22:X22"/>
    <mergeCell ref="Y22:AB22"/>
    <mergeCell ref="AC22:AF22"/>
    <mergeCell ref="AG22:AJ22"/>
    <mergeCell ref="A23:B23"/>
    <mergeCell ref="C23:X23"/>
    <mergeCell ref="Y23:AB23"/>
    <mergeCell ref="AC23:AF23"/>
    <mergeCell ref="AG23:AJ23"/>
    <mergeCell ref="A20:B20"/>
    <mergeCell ref="C20:X20"/>
    <mergeCell ref="Y20:AB20"/>
    <mergeCell ref="AC20:AF20"/>
    <mergeCell ref="AG20:AJ20"/>
    <mergeCell ref="A21:B21"/>
    <mergeCell ref="C21:X21"/>
    <mergeCell ref="Y21:AB21"/>
    <mergeCell ref="AC21:AF21"/>
    <mergeCell ref="AG21:AJ21"/>
    <mergeCell ref="A18:B18"/>
    <mergeCell ref="C18:X18"/>
    <mergeCell ref="Y18:AB18"/>
    <mergeCell ref="AC18:AF18"/>
    <mergeCell ref="AG18:AJ18"/>
    <mergeCell ref="A19:B19"/>
    <mergeCell ref="C19:X19"/>
    <mergeCell ref="Y19:AB19"/>
    <mergeCell ref="AC19:AF19"/>
    <mergeCell ref="AG19:AJ19"/>
    <mergeCell ref="G9:J9"/>
    <mergeCell ref="AA9:AJ9"/>
    <mergeCell ref="A11:AJ11"/>
    <mergeCell ref="A12:AJ12"/>
    <mergeCell ref="A15:AJ15"/>
    <mergeCell ref="A17:B17"/>
    <mergeCell ref="C17:X17"/>
    <mergeCell ref="Y17:AB17"/>
    <mergeCell ref="AC17:AF17"/>
    <mergeCell ref="AG17:AJ17"/>
    <mergeCell ref="A7:F7"/>
    <mergeCell ref="G7:J7"/>
    <mergeCell ref="AA7:AJ7"/>
    <mergeCell ref="A8:F8"/>
    <mergeCell ref="G8:J8"/>
    <mergeCell ref="AA8:AJ8"/>
    <mergeCell ref="AA1:AJ1"/>
    <mergeCell ref="AA2:AJ2"/>
    <mergeCell ref="AA4:AJ4"/>
    <mergeCell ref="A5:I5"/>
    <mergeCell ref="AA5:AJ5"/>
    <mergeCell ref="A6:F6"/>
    <mergeCell ref="G6:J6"/>
    <mergeCell ref="AA6:AJ6"/>
  </mergeCells>
  <hyperlinks>
    <hyperlink ref="H126" r:id="rId1" display="s.ryasov@madi.ru" xr:uid="{23BBBB96-C632-44FD-A746-3B0D4609FC66}"/>
    <hyperlink ref="Z126" r:id="rId2" display="s.ryasov@madi.ru" xr:uid="{E880F585-39C0-4319-8BBC-5369A66B6CFA}"/>
  </hyperlinks>
  <printOptions horizontalCentered="1"/>
  <pageMargins left="0.78740157480314965" right="0" top="0.59055118110236227" bottom="0.59055118110236227" header="0" footer="0"/>
  <pageSetup paperSize="9" scale="60" orientation="portrait" r:id="rId3"/>
  <headerFooter>
    <oddFooter>&amp;L&amp;T  &amp;D&amp;RСтраница  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7FE0-9477-4B6B-A1BB-ABCAEB5FEF7E}">
  <dimension ref="A1:I46"/>
  <sheetViews>
    <sheetView topLeftCell="A7" zoomScale="106" zoomScaleNormal="106" workbookViewId="0">
      <selection activeCell="A26" sqref="A26"/>
    </sheetView>
  </sheetViews>
  <sheetFormatPr defaultColWidth="0" defaultRowHeight="15" zeroHeight="1" x14ac:dyDescent="0.25"/>
  <cols>
    <col min="1" max="1" width="15.42578125" customWidth="1"/>
    <col min="2" max="4" width="9" customWidth="1"/>
    <col min="5" max="6" width="11.5703125" customWidth="1"/>
    <col min="7" max="8" width="9" customWidth="1"/>
    <col min="9" max="9" width="14.5703125" customWidth="1"/>
    <col min="10" max="16384" width="9" hidden="1"/>
  </cols>
  <sheetData>
    <row r="1" spans="1:9" ht="24" customHeight="1" x14ac:dyDescent="0.3">
      <c r="A1" s="28" t="s">
        <v>98</v>
      </c>
      <c r="B1" s="28"/>
      <c r="C1" s="28"/>
      <c r="D1" s="28"/>
      <c r="E1" s="29"/>
      <c r="F1" s="132" t="s">
        <v>113</v>
      </c>
      <c r="G1" s="132"/>
      <c r="H1" s="132"/>
      <c r="I1" s="132"/>
    </row>
    <row r="2" spans="1:9" ht="18.75" x14ac:dyDescent="0.3">
      <c r="A2" s="28" t="s">
        <v>99</v>
      </c>
      <c r="B2" s="28"/>
      <c r="C2" s="28"/>
      <c r="D2" s="28"/>
      <c r="E2" s="42"/>
      <c r="F2" s="132"/>
      <c r="G2" s="132"/>
      <c r="H2" s="132"/>
      <c r="I2" s="132"/>
    </row>
    <row r="3" spans="1:9" ht="18.75" customHeight="1" x14ac:dyDescent="0.3">
      <c r="A3" s="28" t="s">
        <v>100</v>
      </c>
      <c r="B3" s="28"/>
      <c r="C3" s="28"/>
      <c r="D3" s="28"/>
      <c r="E3" s="29"/>
      <c r="F3" s="132"/>
      <c r="G3" s="132"/>
      <c r="H3" s="132"/>
      <c r="I3" s="132"/>
    </row>
    <row r="4" spans="1:9" ht="18.75" x14ac:dyDescent="0.3">
      <c r="A4" s="28"/>
      <c r="B4" s="28"/>
      <c r="C4" s="28"/>
      <c r="D4" s="28"/>
      <c r="E4" s="28"/>
      <c r="F4" s="28"/>
      <c r="G4" s="28"/>
      <c r="H4" s="28"/>
      <c r="I4" s="28"/>
    </row>
    <row r="5" spans="1:9" ht="18.75" x14ac:dyDescent="0.3">
      <c r="A5" s="28"/>
      <c r="B5" s="28"/>
      <c r="C5" s="28"/>
      <c r="D5" s="28"/>
      <c r="E5" s="28"/>
      <c r="F5" s="28"/>
      <c r="G5" s="28"/>
      <c r="H5" s="28"/>
      <c r="I5" s="28"/>
    </row>
    <row r="6" spans="1:9" ht="18.75" x14ac:dyDescent="0.3">
      <c r="A6" s="28"/>
      <c r="B6" s="28"/>
      <c r="C6" s="28"/>
      <c r="D6" s="28"/>
      <c r="E6" s="28"/>
      <c r="F6" s="28"/>
      <c r="G6" s="28"/>
      <c r="H6" s="28"/>
      <c r="I6" s="28"/>
    </row>
    <row r="7" spans="1:9" ht="18.75" x14ac:dyDescent="0.3">
      <c r="A7" s="28" t="str">
        <f>'Исходные данные'!B3</f>
        <v>Кафедра "Наименование кафедры"</v>
      </c>
      <c r="B7" s="28"/>
      <c r="C7" s="28"/>
      <c r="D7" s="28"/>
      <c r="E7" s="28"/>
      <c r="F7" s="28"/>
      <c r="G7" s="28"/>
      <c r="H7" s="28"/>
      <c r="I7" s="28"/>
    </row>
    <row r="8" spans="1:9" ht="18.75" x14ac:dyDescent="0.3">
      <c r="A8" s="30"/>
      <c r="B8" s="28"/>
      <c r="C8" s="28"/>
      <c r="D8" s="28"/>
      <c r="E8" s="28"/>
      <c r="F8" s="28"/>
      <c r="G8" s="28"/>
      <c r="H8" s="28"/>
      <c r="I8" s="28"/>
    </row>
    <row r="9" spans="1:9" ht="18.75" x14ac:dyDescent="0.3">
      <c r="A9" s="30">
        <f ca="1">TODAY()</f>
        <v>45769</v>
      </c>
      <c r="B9" s="28"/>
      <c r="C9" s="28"/>
      <c r="D9" s="28"/>
      <c r="E9" s="28"/>
      <c r="F9" s="28"/>
      <c r="G9" s="28"/>
      <c r="H9" s="28"/>
      <c r="I9" s="28"/>
    </row>
    <row r="10" spans="1:9" ht="18.75" x14ac:dyDescent="0.3">
      <c r="A10" s="28"/>
      <c r="B10" s="28"/>
      <c r="C10" s="28"/>
      <c r="D10" s="28"/>
      <c r="E10" s="28"/>
      <c r="F10" s="28"/>
      <c r="G10" s="28"/>
      <c r="H10" s="28"/>
      <c r="I10" s="28"/>
    </row>
    <row r="11" spans="1:9" ht="18.75" x14ac:dyDescent="0.3">
      <c r="A11" s="28"/>
      <c r="B11" s="28"/>
      <c r="C11" s="28"/>
      <c r="D11" s="28"/>
      <c r="E11" s="28"/>
      <c r="F11" s="28"/>
      <c r="G11" s="28"/>
      <c r="H11" s="28"/>
      <c r="I11" s="28"/>
    </row>
    <row r="12" spans="1:9" ht="18.75" x14ac:dyDescent="0.3">
      <c r="A12" s="131" t="s">
        <v>101</v>
      </c>
      <c r="B12" s="131"/>
      <c r="C12" s="131"/>
      <c r="D12" s="131"/>
      <c r="E12" s="131"/>
      <c r="F12" s="131"/>
      <c r="G12" s="131"/>
      <c r="H12" s="131"/>
      <c r="I12" s="131"/>
    </row>
    <row r="13" spans="1:9" ht="18.75" x14ac:dyDescent="0.3">
      <c r="A13" s="28"/>
      <c r="B13" s="28"/>
      <c r="C13" s="28"/>
      <c r="D13" s="28"/>
      <c r="E13" s="28"/>
      <c r="F13" s="28"/>
      <c r="G13" s="28"/>
      <c r="H13" s="28"/>
      <c r="I13" s="28"/>
    </row>
    <row r="14" spans="1:9" ht="17.649999999999999" customHeight="1" x14ac:dyDescent="0.25">
      <c r="A14" s="130" t="s">
        <v>122</v>
      </c>
      <c r="B14" s="130"/>
      <c r="C14" s="130"/>
      <c r="D14" s="130"/>
      <c r="E14" s="130"/>
      <c r="F14" s="130"/>
      <c r="G14" s="130"/>
      <c r="H14" s="130"/>
      <c r="I14" s="130"/>
    </row>
    <row r="15" spans="1:9" ht="17.649999999999999" customHeight="1" x14ac:dyDescent="0.25">
      <c r="A15" s="130"/>
      <c r="B15" s="130"/>
      <c r="C15" s="130"/>
      <c r="D15" s="130"/>
      <c r="E15" s="130"/>
      <c r="F15" s="130"/>
      <c r="G15" s="130"/>
      <c r="H15" s="130"/>
      <c r="I15" s="130"/>
    </row>
    <row r="16" spans="1:9" ht="17.649999999999999" customHeight="1" x14ac:dyDescent="0.25">
      <c r="A16" s="130"/>
      <c r="B16" s="130"/>
      <c r="C16" s="130"/>
      <c r="D16" s="130"/>
      <c r="E16" s="43"/>
      <c r="F16" s="43"/>
      <c r="G16" s="43"/>
      <c r="H16" s="43"/>
      <c r="I16" s="43"/>
    </row>
    <row r="17" spans="1:9" ht="17.649999999999999" customHeight="1" x14ac:dyDescent="0.3">
      <c r="A17" s="28"/>
      <c r="B17" s="31"/>
      <c r="C17" s="31"/>
      <c r="D17" s="31"/>
      <c r="E17" s="31"/>
      <c r="F17" s="31"/>
      <c r="G17" s="31"/>
      <c r="H17" s="31"/>
      <c r="I17" s="28"/>
    </row>
    <row r="18" spans="1:9" ht="17.649999999999999" customHeight="1" x14ac:dyDescent="0.3">
      <c r="A18" s="44" t="s">
        <v>109</v>
      </c>
      <c r="B18" s="134" t="str">
        <f>'Заявка на закупку'!C18&amp;", количество  часов - "&amp;'Расчёт стомости'!H6&amp;", стоимость оказываемых услуг - "&amp;'Расчёт стомости'!M6&amp; " рублей, в том числе ЕНП " &amp;'Расчёт стомости'!M6-'Расчёт стомости'!I6 &amp;" рублей"</f>
        <v>Оказание образовательных услуг сторонним лицом, не являющимся работником МАДИ, в качестве рецензента выпускных квалификационных работ - Амосов Алексей Германович, количество  часов - 98, стоимость оказываемых услуг - 75166 рублей, в том числе ЕНП 17346 рублей</v>
      </c>
      <c r="C18" s="134"/>
      <c r="D18" s="134"/>
      <c r="E18" s="134"/>
      <c r="F18" s="134"/>
      <c r="G18" s="134"/>
      <c r="H18" s="134"/>
      <c r="I18" s="134"/>
    </row>
    <row r="19" spans="1:9" ht="17.649999999999999" customHeight="1" x14ac:dyDescent="0.3">
      <c r="A19" s="28"/>
      <c r="B19" s="134"/>
      <c r="C19" s="134"/>
      <c r="D19" s="134"/>
      <c r="E19" s="134"/>
      <c r="F19" s="134"/>
      <c r="G19" s="134"/>
      <c r="H19" s="134"/>
      <c r="I19" s="134"/>
    </row>
    <row r="20" spans="1:9" ht="18.75" x14ac:dyDescent="0.3">
      <c r="A20" s="28"/>
      <c r="B20" s="134"/>
      <c r="C20" s="134"/>
      <c r="D20" s="134"/>
      <c r="E20" s="134"/>
      <c r="F20" s="134"/>
      <c r="G20" s="134"/>
      <c r="H20" s="134"/>
      <c r="I20" s="134"/>
    </row>
    <row r="21" spans="1:9" ht="18.75" x14ac:dyDescent="0.3">
      <c r="A21" s="28"/>
      <c r="B21" s="134"/>
      <c r="C21" s="134"/>
      <c r="D21" s="134"/>
      <c r="E21" s="134"/>
      <c r="F21" s="134"/>
      <c r="G21" s="134"/>
      <c r="H21" s="134"/>
      <c r="I21" s="134"/>
    </row>
    <row r="22" spans="1:9" ht="39.75" customHeight="1" x14ac:dyDescent="0.3">
      <c r="A22" s="28"/>
      <c r="B22" s="134"/>
      <c r="C22" s="134"/>
      <c r="D22" s="134"/>
      <c r="E22" s="134"/>
      <c r="F22" s="134"/>
      <c r="G22" s="134"/>
      <c r="H22" s="134"/>
      <c r="I22" s="134"/>
    </row>
    <row r="23" spans="1:9" ht="17.649999999999999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</row>
    <row r="24" spans="1:9" ht="17.649999999999999" customHeight="1" x14ac:dyDescent="0.25">
      <c r="A24" s="132" t="str">
        <f>"         Общая стоимость приобретаемых услуг составит "&amp; 'Расчёт стомости'!M7&amp;" рублей, в том числе ЕНП - " &amp;'Расчёт стомости'!M7-'Расчёт стомости'!I7 &amp; " рублей"</f>
        <v xml:space="preserve">         Общая стоимость приобретаемых услуг составит 75166 рублей, в том числе ЕНП - 17346 рублей</v>
      </c>
      <c r="B24" s="132"/>
      <c r="C24" s="132"/>
      <c r="D24" s="132"/>
      <c r="E24" s="132"/>
      <c r="F24" s="132"/>
      <c r="G24" s="132"/>
      <c r="H24" s="132"/>
      <c r="I24" s="132"/>
    </row>
    <row r="25" spans="1:9" ht="17.649999999999999" customHeight="1" x14ac:dyDescent="0.25">
      <c r="A25" s="132"/>
      <c r="B25" s="132"/>
      <c r="C25" s="132"/>
      <c r="D25" s="132"/>
      <c r="E25" s="132"/>
      <c r="F25" s="132"/>
      <c r="G25" s="132"/>
      <c r="H25" s="132"/>
      <c r="I25" s="132"/>
    </row>
    <row r="26" spans="1:9" ht="18.75" x14ac:dyDescent="0.3">
      <c r="A26" s="28"/>
      <c r="B26" s="28"/>
      <c r="C26" s="28"/>
      <c r="D26" s="28"/>
      <c r="E26" s="28"/>
      <c r="F26" s="28"/>
      <c r="G26" s="28"/>
      <c r="H26" s="28"/>
      <c r="I26" s="28"/>
    </row>
    <row r="27" spans="1:9" ht="18.75" x14ac:dyDescent="0.3">
      <c r="A27" s="131" t="s">
        <v>108</v>
      </c>
      <c r="B27" s="131"/>
      <c r="C27" s="131"/>
      <c r="D27" s="31"/>
      <c r="E27" s="32"/>
      <c r="F27" s="32"/>
      <c r="G27" s="133" t="str">
        <f>'Исходные данные'!B6</f>
        <v>Верещагин С.Б.</v>
      </c>
      <c r="H27" s="133"/>
      <c r="I27" s="133"/>
    </row>
    <row r="28" spans="1:9" ht="18.75" x14ac:dyDescent="0.3">
      <c r="A28" s="28"/>
      <c r="B28" s="28"/>
      <c r="C28" s="28"/>
      <c r="D28" s="28"/>
      <c r="E28" s="28"/>
      <c r="F28" s="28"/>
      <c r="G28" s="28"/>
      <c r="H28" s="28"/>
      <c r="I28" s="28"/>
    </row>
    <row r="29" spans="1:9" ht="14.65" hidden="1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</row>
    <row r="30" spans="1:9" ht="18.75" hidden="1" x14ac:dyDescent="0.3">
      <c r="A30" s="28"/>
      <c r="B30" s="28"/>
      <c r="C30" s="28"/>
      <c r="D30" s="28"/>
      <c r="E30" s="28"/>
      <c r="F30" s="28"/>
      <c r="G30" s="28"/>
      <c r="H30" s="28"/>
      <c r="I30" s="28"/>
    </row>
    <row r="31" spans="1:9" ht="18.75" hidden="1" x14ac:dyDescent="0.3">
      <c r="A31" s="28"/>
      <c r="B31" s="28"/>
      <c r="C31" s="28"/>
      <c r="D31" s="28"/>
      <c r="E31" s="28"/>
      <c r="F31" s="28"/>
      <c r="G31" s="28"/>
      <c r="H31" s="28"/>
      <c r="I31" s="28"/>
    </row>
    <row r="32" spans="1:9" ht="18.75" hidden="1" x14ac:dyDescent="0.3">
      <c r="A32" s="28"/>
      <c r="B32" s="28"/>
      <c r="C32" s="28"/>
      <c r="D32" s="28"/>
      <c r="E32" s="28"/>
      <c r="F32" s="28"/>
      <c r="G32" s="28"/>
      <c r="H32" s="28"/>
      <c r="I32" s="28"/>
    </row>
    <row r="33" spans="1:9" ht="18.75" hidden="1" x14ac:dyDescent="0.3">
      <c r="A33" s="28"/>
      <c r="B33" s="28"/>
      <c r="C33" s="28"/>
      <c r="D33" s="28"/>
      <c r="E33" s="28"/>
      <c r="F33" s="28"/>
      <c r="G33" s="28"/>
      <c r="H33" s="28"/>
      <c r="I33" s="28"/>
    </row>
    <row r="34" spans="1:9" ht="18.75" hidden="1" x14ac:dyDescent="0.3">
      <c r="A34" s="28"/>
      <c r="B34" s="28"/>
      <c r="C34" s="28"/>
      <c r="D34" s="28"/>
      <c r="E34" s="28"/>
      <c r="F34" s="28"/>
      <c r="G34" s="28"/>
      <c r="H34" s="28"/>
      <c r="I34" s="28"/>
    </row>
    <row r="35" spans="1:9" ht="18.75" hidden="1" x14ac:dyDescent="0.3">
      <c r="A35" s="28"/>
      <c r="B35" s="28"/>
      <c r="C35" s="28"/>
      <c r="D35" s="28"/>
      <c r="E35" s="28"/>
      <c r="F35" s="28"/>
      <c r="G35" s="28"/>
      <c r="H35" s="28"/>
      <c r="I35" s="28"/>
    </row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</sheetData>
  <sheetProtection formatCells="0" formatColumns="0" formatRows="0" insertColumns="0" insertRows="0" insertHyperlinks="0" deleteColumns="0" deleteRows="0" sort="0" autoFilter="0" pivotTables="0"/>
  <mergeCells count="8">
    <mergeCell ref="A14:I15"/>
    <mergeCell ref="A12:I12"/>
    <mergeCell ref="F1:I3"/>
    <mergeCell ref="A16:D16"/>
    <mergeCell ref="A27:C27"/>
    <mergeCell ref="G27:I27"/>
    <mergeCell ref="B18:I22"/>
    <mergeCell ref="A24:I25"/>
  </mergeCells>
  <pageMargins left="0.7" right="0.7" top="0.75" bottom="0.75" header="0.3" footer="0.3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данные</vt:lpstr>
      <vt:lpstr>Расчёт стомости</vt:lpstr>
      <vt:lpstr>Заявка на закупку</vt:lpstr>
      <vt:lpstr>Служебная записка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Проректор</cp:lastModifiedBy>
  <cp:lastPrinted>2025-01-20T13:53:06Z</cp:lastPrinted>
  <dcterms:created xsi:type="dcterms:W3CDTF">2023-10-18T14:11:31Z</dcterms:created>
  <dcterms:modified xsi:type="dcterms:W3CDTF">2025-04-22T13:10:09Z</dcterms:modified>
</cp:coreProperties>
</file>