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K-7\Desktop\"/>
    </mc:Choice>
  </mc:AlternateContent>
  <xr:revisionPtr revIDLastSave="0" documentId="13_ncr:1_{EFA08068-2ECE-4153-8622-067DA06FBD90}" xr6:coauthVersionLast="47" xr6:coauthVersionMax="47" xr10:uidLastSave="{00000000-0000-0000-0000-000000000000}"/>
  <bookViews>
    <workbookView xWindow="3120" yWindow="3120" windowWidth="14550" windowHeight="1300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12" i="1" s="1"/>
  <c r="C7" i="1"/>
  <c r="C8" i="1" s="1"/>
  <c r="C6" i="1"/>
</calcChain>
</file>

<file path=xl/sharedStrings.xml><?xml version="1.0" encoding="utf-8"?>
<sst xmlns="http://schemas.openxmlformats.org/spreadsheetml/2006/main" count="23" uniqueCount="23">
  <si>
    <t>Пункт договора</t>
  </si>
  <si>
    <t>Описание</t>
  </si>
  <si>
    <t>Результат</t>
  </si>
  <si>
    <t>1.1.</t>
  </si>
  <si>
    <t>3.1.</t>
  </si>
  <si>
    <t>3.2.</t>
  </si>
  <si>
    <t>3.3.</t>
  </si>
  <si>
    <t>3.3. НДФЛ</t>
  </si>
  <si>
    <t>3.3. ЕНП</t>
  </si>
  <si>
    <t>3.4.</t>
  </si>
  <si>
    <t>3.5.</t>
  </si>
  <si>
    <t>Стоимость академического часа, включая налоги и сборы</t>
  </si>
  <si>
    <t>Общая стоимость услуг по договору</t>
  </si>
  <si>
    <t>Сумма взносов ЕНП</t>
  </si>
  <si>
    <t>Сумма  НДФЛ 13%</t>
  </si>
  <si>
    <t>Таблица для заполнения договоров ГПХ</t>
  </si>
  <si>
    <t>Сумма за оказанные услуги (начисленная)</t>
  </si>
  <si>
    <t>Сумма за оказанные услуги (подлежащая выплате)</t>
  </si>
  <si>
    <t>Количество общих часов по договору</t>
  </si>
  <si>
    <r>
      <t>Количество академических часов по договору (</t>
    </r>
    <r>
      <rPr>
        <b/>
        <sz val="11"/>
        <color theme="1"/>
        <rFont val="Calibri"/>
        <family val="2"/>
        <charset val="204"/>
        <scheme val="minor"/>
      </rPr>
      <t>НЕОБХОДИМО ЗАНЕСТИ!</t>
    </r>
    <r>
      <rPr>
        <sz val="11"/>
        <color theme="1"/>
        <rFont val="Calibri"/>
        <family val="2"/>
        <charset val="204"/>
        <scheme val="minor"/>
      </rPr>
      <t>)</t>
    </r>
  </si>
  <si>
    <r>
      <t>Стоимость академического часа согласно приказа (</t>
    </r>
    <r>
      <rPr>
        <b/>
        <sz val="11"/>
        <color theme="1"/>
        <rFont val="Calibri"/>
        <family val="2"/>
        <charset val="204"/>
        <scheme val="minor"/>
      </rPr>
      <t>НЕОБХОДИМО ЗАНЕСТИ!</t>
    </r>
    <r>
      <rPr>
        <sz val="11"/>
        <color theme="1"/>
        <rFont val="Calibri"/>
        <family val="2"/>
        <charset val="204"/>
        <scheme val="minor"/>
      </rPr>
      <t>)</t>
    </r>
  </si>
  <si>
    <t>1.1.*</t>
  </si>
  <si>
    <t>Пункты 1.1* и 3.1. необходимо заполнить! Пункты с 1.1 по 3.5. рассчитываются автоматически (полученные результаты необходимо занести в договор).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</si>
</sst>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43" fontId="0" fillId="0" borderId="7" xfId="1" applyFont="1" applyBorder="1" applyAlignment="1">
      <alignment horizontal="right" vertical="center"/>
    </xf>
    <xf numFmtId="0" fontId="6" fillId="0" borderId="11" xfId="0" applyFont="1" applyBorder="1" applyAlignment="1">
      <alignment horizontal="center" vertical="center"/>
    </xf>
    <xf numFmtId="43" fontId="0" fillId="0" borderId="12" xfId="1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wrapText="1"/>
    </xf>
    <xf numFmtId="164" fontId="0" fillId="0" borderId="0" xfId="0" applyNumberFormat="1"/>
    <xf numFmtId="4" fontId="0" fillId="0" borderId="0" xfId="0" applyNumberFormat="1"/>
    <xf numFmtId="43" fontId="0" fillId="0" borderId="10" xfId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6" sqref="C6"/>
    </sheetView>
  </sheetViews>
  <sheetFormatPr defaultRowHeight="15" x14ac:dyDescent="0.25"/>
  <cols>
    <col min="1" max="1" width="23.5703125" customWidth="1"/>
    <col min="2" max="2" width="36.5703125" customWidth="1"/>
    <col min="3" max="3" width="27.28515625" customWidth="1"/>
    <col min="6" max="6" width="12" bestFit="1" customWidth="1"/>
  </cols>
  <sheetData>
    <row r="1" spans="1:6" ht="38.25" customHeight="1" x14ac:dyDescent="0.35">
      <c r="A1" s="19" t="s">
        <v>15</v>
      </c>
      <c r="B1" s="20"/>
      <c r="C1" s="20"/>
    </row>
    <row r="2" spans="1:6" ht="15.75" thickBot="1" x14ac:dyDescent="0.3"/>
    <row r="3" spans="1:6" ht="17.25" customHeight="1" thickBot="1" x14ac:dyDescent="0.35">
      <c r="A3" s="1" t="s">
        <v>0</v>
      </c>
      <c r="B3" s="2" t="s">
        <v>1</v>
      </c>
      <c r="C3" s="3" t="s">
        <v>2</v>
      </c>
    </row>
    <row r="4" spans="1:6" ht="30" x14ac:dyDescent="0.25">
      <c r="A4" s="7" t="s">
        <v>21</v>
      </c>
      <c r="B4" s="8" t="s">
        <v>19</v>
      </c>
      <c r="C4" s="9">
        <v>3</v>
      </c>
    </row>
    <row r="5" spans="1:6" ht="46.5" customHeight="1" x14ac:dyDescent="0.25">
      <c r="A5" s="10" t="s">
        <v>4</v>
      </c>
      <c r="B5" s="4" t="s">
        <v>20</v>
      </c>
      <c r="C5" s="11">
        <v>800</v>
      </c>
      <c r="F5" s="16"/>
    </row>
    <row r="6" spans="1:6" ht="31.5" customHeight="1" x14ac:dyDescent="0.25">
      <c r="A6" s="12" t="s">
        <v>3</v>
      </c>
      <c r="B6" s="5" t="s">
        <v>18</v>
      </c>
      <c r="C6" s="11">
        <f>C4*0.75</f>
        <v>2.25</v>
      </c>
      <c r="F6" s="17"/>
    </row>
    <row r="7" spans="1:6" ht="30" x14ac:dyDescent="0.25">
      <c r="A7" s="13" t="s">
        <v>5</v>
      </c>
      <c r="B7" s="4" t="s">
        <v>11</v>
      </c>
      <c r="C7" s="11">
        <f>C5*1.3</f>
        <v>1040</v>
      </c>
      <c r="F7" s="16"/>
    </row>
    <row r="8" spans="1:6" ht="30" customHeight="1" x14ac:dyDescent="0.25">
      <c r="A8" s="13" t="s">
        <v>6</v>
      </c>
      <c r="B8" s="6" t="s">
        <v>12</v>
      </c>
      <c r="C8" s="11">
        <f>C7*C4</f>
        <v>3120</v>
      </c>
    </row>
    <row r="9" spans="1:6" ht="30" customHeight="1" x14ac:dyDescent="0.25">
      <c r="A9" s="13" t="s">
        <v>7</v>
      </c>
      <c r="B9" s="6" t="s">
        <v>14</v>
      </c>
      <c r="C9" s="11">
        <f>ROUND(C5*C4*0.13,0)</f>
        <v>312</v>
      </c>
    </row>
    <row r="10" spans="1:6" ht="30.75" customHeight="1" x14ac:dyDescent="0.25">
      <c r="A10" s="13" t="s">
        <v>8</v>
      </c>
      <c r="B10" s="6" t="s">
        <v>13</v>
      </c>
      <c r="C10" s="11">
        <f>C5*C4*0.3</f>
        <v>720</v>
      </c>
    </row>
    <row r="11" spans="1:6" ht="30" x14ac:dyDescent="0.25">
      <c r="A11" s="13" t="s">
        <v>9</v>
      </c>
      <c r="B11" s="4" t="s">
        <v>16</v>
      </c>
      <c r="C11" s="11">
        <f>C5*C4</f>
        <v>2400</v>
      </c>
    </row>
    <row r="12" spans="1:6" ht="30.75" thickBot="1" x14ac:dyDescent="0.3">
      <c r="A12" s="14" t="s">
        <v>10</v>
      </c>
      <c r="B12" s="15" t="s">
        <v>17</v>
      </c>
      <c r="C12" s="18">
        <f>C11-C9</f>
        <v>2088</v>
      </c>
    </row>
    <row r="14" spans="1:6" x14ac:dyDescent="0.25">
      <c r="A14" s="21" t="s">
        <v>22</v>
      </c>
      <c r="B14" s="21"/>
      <c r="C14" s="21"/>
    </row>
    <row r="15" spans="1:6" x14ac:dyDescent="0.25">
      <c r="A15" s="21"/>
      <c r="B15" s="21"/>
      <c r="C15" s="21"/>
    </row>
    <row r="16" spans="1:6" x14ac:dyDescent="0.25">
      <c r="A16" s="21"/>
      <c r="B16" s="21"/>
      <c r="C16" s="21"/>
    </row>
    <row r="17" spans="1:3" x14ac:dyDescent="0.25">
      <c r="A17" s="21"/>
      <c r="B17" s="21"/>
      <c r="C17" s="21"/>
    </row>
    <row r="18" spans="1:3" x14ac:dyDescent="0.25">
      <c r="A18" s="21"/>
      <c r="B18" s="21"/>
      <c r="C18" s="21"/>
    </row>
  </sheetData>
  <mergeCells count="2">
    <mergeCell ref="A1:C1"/>
    <mergeCell ref="A14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PK-7</cp:lastModifiedBy>
  <cp:lastPrinted>2024-04-08T13:49:17Z</cp:lastPrinted>
  <dcterms:created xsi:type="dcterms:W3CDTF">2024-04-08T12:26:46Z</dcterms:created>
  <dcterms:modified xsi:type="dcterms:W3CDTF">2025-11-25T06:57:22Z</dcterms:modified>
</cp:coreProperties>
</file>